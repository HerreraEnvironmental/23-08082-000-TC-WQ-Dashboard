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https://kc1.sharepoint.com/teams/DNRPWLRDStreamsMonitoring/Shared Documents/Streams SAP Update/WaterQualityIndex/"/>
    </mc:Choice>
  </mc:AlternateContent>
  <xr:revisionPtr revIDLastSave="1264" documentId="8_{66647633-2BBE-4343-89C2-55B1EF3F4DA5}" xr6:coauthVersionLast="45" xr6:coauthVersionMax="45" xr10:uidLastSave="{328FA5CE-D563-489F-B302-6E946B93EAAF}"/>
  <bookViews>
    <workbookView xWindow="5580" yWindow="750" windowWidth="21600" windowHeight="10845" activeTab="3" xr2:uid="{00000000-000D-0000-FFFF-FFFF00000000}"/>
  </bookViews>
  <sheets>
    <sheet name="Instructions" sheetId="4" r:id="rId1"/>
    <sheet name="Main" sheetId="1" r:id="rId2"/>
    <sheet name="Curves" sheetId="2" r:id="rId3"/>
    <sheet name="Interim Results" sheetId="3" r:id="rId4"/>
    <sheet name="Worksheet" sheetId="5" r:id="rId5"/>
    <sheet name="1997Curves" sheetId="6" r:id="rId6"/>
  </sheets>
  <functionGroups builtInGroupCount="19"/>
  <definedNames>
    <definedName name="class">Main!$C$4</definedName>
    <definedName name="ecoregion">Main!$C$7</definedName>
    <definedName name="Ecoregion_List">Curves!$C$256:$C$263</definedName>
    <definedName name="FCCurve">Main!$C$11</definedName>
    <definedName name="FCWQIClass">Curves!$C$215:$C$217</definedName>
    <definedName name="OxyCurve">Main!$D$11</definedName>
    <definedName name="OxygenWQIClass">Curves!$C$220:$C$225</definedName>
    <definedName name="pHCurve">Main!$E$11</definedName>
    <definedName name="_xlnm.Print_Area" localSheetId="1">Main!$A$1:$L$27</definedName>
    <definedName name="SupSpawnWQIClass">Curves!$C$235:$C$253</definedName>
    <definedName name="TempCurve">Main!$H$11</definedName>
    <definedName name="TempWQIClass">Curves!$C$228:$C$233</definedName>
    <definedName name="TNCurve">Main!$I$11</definedName>
    <definedName name="TPCurve">Main!$F$11</definedName>
    <definedName name="TSSCurve">Main!$G$11</definedName>
    <definedName name="TurbCurve">Main!$J$11</definedName>
    <definedName name="YesNo">Curves!$C$296:$C$297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7" i="3" l="1"/>
  <c r="K15" i="3" l="1"/>
  <c r="F10" i="1" l="1"/>
  <c r="F11" i="1" s="1"/>
  <c r="I10" i="1"/>
  <c r="I11" i="1" s="1"/>
  <c r="E11" i="1"/>
  <c r="B5" i="5"/>
  <c r="C5" i="5"/>
  <c r="D5" i="5"/>
  <c r="F5" i="5"/>
  <c r="G5" i="5"/>
  <c r="H5" i="5"/>
  <c r="I5" i="5"/>
  <c r="J5" i="5"/>
  <c r="B6" i="5"/>
  <c r="C6" i="5"/>
  <c r="D6" i="5"/>
  <c r="E6" i="5"/>
  <c r="F6" i="5"/>
  <c r="G6" i="5"/>
  <c r="H6" i="5"/>
  <c r="I6" i="5"/>
  <c r="J6" i="5"/>
  <c r="B7" i="5"/>
  <c r="C7" i="5"/>
  <c r="D7" i="5"/>
  <c r="E7" i="5"/>
  <c r="F7" i="5"/>
  <c r="G7" i="5"/>
  <c r="H7" i="5"/>
  <c r="I7" i="5"/>
  <c r="J7" i="5"/>
  <c r="B8" i="5"/>
  <c r="C8" i="5"/>
  <c r="D8" i="5"/>
  <c r="E8" i="5"/>
  <c r="F8" i="5"/>
  <c r="G8" i="5"/>
  <c r="H8" i="5"/>
  <c r="I8" i="5"/>
  <c r="J8" i="5"/>
  <c r="B9" i="5"/>
  <c r="C9" i="5"/>
  <c r="D9" i="5"/>
  <c r="E9" i="5"/>
  <c r="F9" i="5"/>
  <c r="G9" i="5"/>
  <c r="H9" i="5"/>
  <c r="I9" i="5"/>
  <c r="J9" i="5"/>
  <c r="B10" i="5"/>
  <c r="C10" i="5"/>
  <c r="D10" i="5"/>
  <c r="E10" i="5"/>
  <c r="F10" i="5"/>
  <c r="G10" i="5"/>
  <c r="H10" i="5"/>
  <c r="I10" i="5"/>
  <c r="J10" i="5"/>
  <c r="B11" i="5"/>
  <c r="C11" i="5"/>
  <c r="D11" i="5"/>
  <c r="E11" i="5"/>
  <c r="F11" i="5"/>
  <c r="G11" i="5"/>
  <c r="H11" i="5"/>
  <c r="I11" i="5"/>
  <c r="J11" i="5"/>
  <c r="B12" i="5"/>
  <c r="C12" i="5"/>
  <c r="D12" i="5"/>
  <c r="E12" i="5"/>
  <c r="F12" i="5"/>
  <c r="G12" i="5"/>
  <c r="H12" i="5"/>
  <c r="I12" i="5"/>
  <c r="J12" i="5"/>
  <c r="B13" i="5"/>
  <c r="C13" i="5"/>
  <c r="D13" i="5"/>
  <c r="E13" i="5"/>
  <c r="F13" i="5"/>
  <c r="G13" i="5"/>
  <c r="H13" i="5"/>
  <c r="I13" i="5"/>
  <c r="J13" i="5"/>
  <c r="B14" i="5"/>
  <c r="C14" i="5"/>
  <c r="D14" i="5"/>
  <c r="E14" i="5"/>
  <c r="F14" i="5"/>
  <c r="G14" i="5"/>
  <c r="H14" i="5"/>
  <c r="I14" i="5"/>
  <c r="J14" i="5"/>
  <c r="B15" i="5"/>
  <c r="C15" i="5"/>
  <c r="D15" i="5"/>
  <c r="E15" i="5"/>
  <c r="F15" i="5"/>
  <c r="G15" i="5"/>
  <c r="H15" i="5"/>
  <c r="I15" i="5"/>
  <c r="J15" i="5"/>
  <c r="J4" i="5"/>
  <c r="I4" i="5"/>
  <c r="H4" i="5"/>
  <c r="G4" i="5"/>
  <c r="F4" i="5"/>
  <c r="E4" i="5"/>
  <c r="D4" i="5"/>
  <c r="C4" i="5"/>
  <c r="B4" i="5"/>
  <c r="H7" i="1"/>
  <c r="H8" i="1" s="1"/>
  <c r="H10" i="1" s="1"/>
  <c r="H11" i="1" s="1"/>
  <c r="N44" i="2"/>
  <c r="B292" i="2"/>
  <c r="B293" i="2"/>
  <c r="A292" i="2"/>
  <c r="A293" i="2"/>
  <c r="D293" i="2" s="1"/>
  <c r="B291" i="2"/>
  <c r="A291" i="2"/>
  <c r="B289" i="2"/>
  <c r="B290" i="2" s="1"/>
  <c r="A289" i="2"/>
  <c r="D289" i="2" s="1"/>
  <c r="B287" i="2"/>
  <c r="B288" i="2"/>
  <c r="A287" i="2"/>
  <c r="D287" i="2" s="1"/>
  <c r="A288" i="2"/>
  <c r="D288" i="2" s="1"/>
  <c r="B286" i="2"/>
  <c r="A286" i="2"/>
  <c r="B282" i="2"/>
  <c r="B283" i="2" s="1"/>
  <c r="A282" i="2"/>
  <c r="A283" i="2"/>
  <c r="D283" i="2"/>
  <c r="B281" i="2"/>
  <c r="A281" i="2"/>
  <c r="D281" i="2" s="1"/>
  <c r="B279" i="2"/>
  <c r="B280" i="2" s="1"/>
  <c r="A279" i="2"/>
  <c r="A280" i="2"/>
  <c r="D280" i="2"/>
  <c r="B277" i="2"/>
  <c r="B278" i="2" s="1"/>
  <c r="A277" i="2"/>
  <c r="D277" i="2" s="1"/>
  <c r="B276" i="2"/>
  <c r="A276" i="2"/>
  <c r="D276" i="2"/>
  <c r="B272" i="2"/>
  <c r="B273" i="2" s="1"/>
  <c r="A272" i="2"/>
  <c r="A273" i="2" s="1"/>
  <c r="D273" i="2" s="1"/>
  <c r="C272" i="2"/>
  <c r="D272" i="2"/>
  <c r="B271" i="2"/>
  <c r="A271" i="2"/>
  <c r="D271" i="2" s="1"/>
  <c r="B269" i="2"/>
  <c r="B270" i="2"/>
  <c r="A269" i="2"/>
  <c r="A270" i="2" s="1"/>
  <c r="D270" i="2" s="1"/>
  <c r="B267" i="2"/>
  <c r="B268" i="2" s="1"/>
  <c r="A267" i="2"/>
  <c r="A268" i="2" s="1"/>
  <c r="D268" i="2" s="1"/>
  <c r="B266" i="2"/>
  <c r="A266" i="2"/>
  <c r="D266" i="2"/>
  <c r="D292" i="2"/>
  <c r="D291" i="2"/>
  <c r="D286" i="2"/>
  <c r="D279" i="2"/>
  <c r="C292" i="2"/>
  <c r="C291" i="2"/>
  <c r="C289" i="2"/>
  <c r="C287" i="2"/>
  <c r="C286" i="2"/>
  <c r="C282" i="2"/>
  <c r="C281" i="2"/>
  <c r="C279" i="2"/>
  <c r="C277" i="2"/>
  <c r="C276" i="2"/>
  <c r="C271" i="2"/>
  <c r="C269" i="2"/>
  <c r="C267" i="2"/>
  <c r="C266" i="2"/>
  <c r="B262" i="2"/>
  <c r="B263" i="2"/>
  <c r="A262" i="2"/>
  <c r="A263" i="2" s="1"/>
  <c r="D263" i="2" s="1"/>
  <c r="D262" i="2"/>
  <c r="B261" i="2"/>
  <c r="A261" i="2"/>
  <c r="D261" i="2"/>
  <c r="B259" i="2"/>
  <c r="B260" i="2" s="1"/>
  <c r="A259" i="2"/>
  <c r="A260" i="2"/>
  <c r="D260" i="2"/>
  <c r="B257" i="2"/>
  <c r="B258" i="2" s="1"/>
  <c r="A257" i="2"/>
  <c r="A258" i="2" s="1"/>
  <c r="D258" i="2" s="1"/>
  <c r="D257" i="2"/>
  <c r="B256" i="2"/>
  <c r="A256" i="2"/>
  <c r="D256" i="2"/>
  <c r="C262" i="2"/>
  <c r="C261" i="2"/>
  <c r="C259" i="2"/>
  <c r="C257" i="2"/>
  <c r="C256" i="2"/>
  <c r="D233" i="2"/>
  <c r="D231" i="2"/>
  <c r="D229" i="2"/>
  <c r="D232" i="2"/>
  <c r="D230" i="2"/>
  <c r="D228" i="2"/>
  <c r="B225" i="2"/>
  <c r="A225" i="2"/>
  <c r="D225" i="2" s="1"/>
  <c r="B224" i="2"/>
  <c r="A224" i="2"/>
  <c r="D224" i="2"/>
  <c r="B223" i="2"/>
  <c r="A223" i="2"/>
  <c r="D223" i="2" s="1"/>
  <c r="B222" i="2"/>
  <c r="A222" i="2"/>
  <c r="D222" i="2" s="1"/>
  <c r="B221" i="2"/>
  <c r="A221" i="2"/>
  <c r="D221" i="2"/>
  <c r="B220" i="2"/>
  <c r="A220" i="2"/>
  <c r="D220" i="2"/>
  <c r="C220" i="2"/>
  <c r="C221" i="2"/>
  <c r="C222" i="2"/>
  <c r="C223" i="2"/>
  <c r="C224" i="2"/>
  <c r="C225" i="2"/>
  <c r="B217" i="2"/>
  <c r="A217" i="2"/>
  <c r="D217" i="2"/>
  <c r="B216" i="2"/>
  <c r="A216" i="2"/>
  <c r="D216" i="2"/>
  <c r="B215" i="2"/>
  <c r="A215" i="2"/>
  <c r="D215" i="2" s="1"/>
  <c r="C217" i="2"/>
  <c r="C216" i="2"/>
  <c r="C10" i="1"/>
  <c r="C11" i="1" s="1"/>
  <c r="C215" i="2"/>
  <c r="A1" i="4"/>
  <c r="B14" i="3"/>
  <c r="A5" i="5"/>
  <c r="B15" i="3"/>
  <c r="A6" i="5"/>
  <c r="A7" i="5"/>
  <c r="A8" i="5"/>
  <c r="A9" i="5"/>
  <c r="A10" i="5"/>
  <c r="A11" i="5"/>
  <c r="A12" i="5"/>
  <c r="A13" i="5"/>
  <c r="A14" i="5"/>
  <c r="B24" i="3"/>
  <c r="A15" i="5"/>
  <c r="A4" i="5"/>
  <c r="L14" i="3"/>
  <c r="L15" i="3"/>
  <c r="L16" i="3"/>
  <c r="L17" i="3"/>
  <c r="L18" i="3"/>
  <c r="L19" i="3"/>
  <c r="L20" i="3"/>
  <c r="L21" i="3"/>
  <c r="L22" i="3"/>
  <c r="L23" i="3"/>
  <c r="L24" i="3"/>
  <c r="L25" i="3"/>
  <c r="G13" i="3"/>
  <c r="D13" i="3"/>
  <c r="B13" i="3"/>
  <c r="C13" i="3"/>
  <c r="E13" i="3"/>
  <c r="F13" i="3"/>
  <c r="H13" i="3"/>
  <c r="I13" i="3"/>
  <c r="J13" i="3"/>
  <c r="D259" i="2"/>
  <c r="K16" i="3"/>
  <c r="K17" i="3"/>
  <c r="K19" i="3"/>
  <c r="B16" i="3"/>
  <c r="B25" i="3"/>
  <c r="B23" i="3"/>
  <c r="B21" i="3"/>
  <c r="B19" i="3"/>
  <c r="B17" i="3"/>
  <c r="B18" i="3"/>
  <c r="B22" i="3"/>
  <c r="B20" i="3"/>
  <c r="K20" i="3"/>
  <c r="K22" i="3"/>
  <c r="K14" i="3"/>
  <c r="K21" i="3"/>
  <c r="K18" i="3"/>
  <c r="K24" i="3"/>
  <c r="K23" i="3"/>
  <c r="K25" i="3"/>
  <c r="D282" i="2"/>
  <c r="K30" i="3" l="1"/>
  <c r="N24" i="3"/>
  <c r="N16" i="3"/>
  <c r="M21" i="3"/>
  <c r="N17" i="3"/>
  <c r="M15" i="3"/>
  <c r="M18" i="3"/>
  <c r="M22" i="3"/>
  <c r="N21" i="3"/>
  <c r="M17" i="3"/>
  <c r="N15" i="3"/>
  <c r="N19" i="3"/>
  <c r="N25" i="3"/>
  <c r="M16" i="3"/>
  <c r="M20" i="3"/>
  <c r="M24" i="3"/>
  <c r="N18" i="3"/>
  <c r="D267" i="2"/>
  <c r="A278" i="2"/>
  <c r="D278" i="2" s="1"/>
  <c r="M25" i="3"/>
  <c r="M19" i="3"/>
  <c r="G10" i="1"/>
  <c r="G11" i="1" s="1"/>
  <c r="J10" i="1"/>
  <c r="J11" i="1" s="1"/>
  <c r="N20" i="3"/>
  <c r="N23" i="3"/>
  <c r="N22" i="3"/>
  <c r="N14" i="3"/>
  <c r="A290" i="2"/>
  <c r="D290" i="2" s="1"/>
  <c r="D10" i="1"/>
  <c r="D11" i="1" s="1"/>
  <c r="M23" i="3"/>
  <c r="D269" i="2"/>
  <c r="M14" i="3"/>
  <c r="R14" i="3" l="1"/>
  <c r="O14" i="3"/>
  <c r="R20" i="3"/>
  <c r="R18" i="3"/>
  <c r="R23" i="3"/>
  <c r="R24" i="3"/>
  <c r="R25" i="3"/>
  <c r="R21" i="3"/>
  <c r="R22" i="3"/>
  <c r="R15" i="3"/>
  <c r="R16" i="3"/>
  <c r="R19" i="3"/>
  <c r="R17" i="3"/>
  <c r="Q14" i="3"/>
  <c r="O24" i="3"/>
  <c r="O16" i="3"/>
  <c r="O21" i="3"/>
  <c r="O17" i="3"/>
  <c r="O15" i="3"/>
  <c r="O19" i="3"/>
  <c r="O18" i="3"/>
  <c r="O22" i="3"/>
  <c r="O25" i="3"/>
  <c r="O20" i="3"/>
  <c r="O23" i="3"/>
  <c r="K23" i="1" l="1"/>
  <c r="K19" i="1"/>
  <c r="K20" i="1"/>
  <c r="K22" i="1"/>
  <c r="K18" i="1"/>
  <c r="K14" i="1"/>
  <c r="K17" i="1"/>
  <c r="K15" i="1"/>
  <c r="K25" i="1"/>
  <c r="K16" i="1"/>
  <c r="K21" i="1"/>
  <c r="K2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Hallock</author>
    <author>Dave</author>
    <author>Dave Hallock</author>
  </authors>
  <commentList>
    <comment ref="C2" authorId="0" shapeId="0" xr:uid="{00000000-0006-0000-0100-000001000000}">
      <text>
        <r>
          <rPr>
            <sz val="8"/>
            <color indexed="81"/>
            <rFont val="Tahoma"/>
            <family val="2"/>
          </rPr>
          <t>Enter station identifier (optional)</t>
        </r>
      </text>
    </comment>
    <comment ref="C3" authorId="0" shapeId="0" xr:uid="{00000000-0006-0000-0100-000002000000}">
      <text>
        <r>
          <rPr>
            <sz val="8"/>
            <color indexed="81"/>
            <rFont val="Tahoma"/>
            <family val="2"/>
          </rPr>
          <t xml:space="preserve">Select recreation use: Extraordinary primary contact, primary contact, or secondary contact.
</t>
        </r>
      </text>
    </comment>
    <comment ref="C4" authorId="0" shapeId="0" xr:uid="{00000000-0006-0000-0100-000003000000}">
      <text>
        <r>
          <rPr>
            <sz val="8"/>
            <color indexed="81"/>
            <rFont val="Tahoma"/>
            <family val="2"/>
          </rPr>
          <t xml:space="preserve">Select the aquatic life beneficial use for temperature
</t>
        </r>
      </text>
    </comment>
    <comment ref="C5" authorId="0" shapeId="0" xr:uid="{00000000-0006-0000-0100-000004000000}">
      <text>
        <r>
          <rPr>
            <sz val="8"/>
            <color indexed="81"/>
            <rFont val="Tahoma"/>
            <family val="2"/>
          </rPr>
          <t xml:space="preserve">Select the aquatic life beneficial use for oxygen
</t>
        </r>
      </text>
    </comment>
    <comment ref="C6" authorId="1" shapeId="0" xr:uid="{00000000-0006-0000-0100-000005000000}">
      <text>
        <r>
          <rPr>
            <sz val="9"/>
            <color indexed="81"/>
            <rFont val="Tahoma"/>
            <family val="2"/>
          </rPr>
          <t xml:space="preserve">Note that the supplemental spawning designation only applies to temperature criteria, and it is independent of the aquatic life designation.
See maps in WAC 173-201A to determine the seasonal spawing window for your station.
Only supplemental temperature criteria for salmon and trout spawning and incubation areas are currently included in the WQI. If you need to calculate an index score including a supplemental temperature for char spawning and incubation, contact the author. </t>
        </r>
      </text>
    </comment>
    <comment ref="C7" authorId="2" shapeId="0" xr:uid="{00000000-0006-0000-0100-000006000000}">
      <text>
        <r>
          <rPr>
            <sz val="7"/>
            <color indexed="81"/>
            <rFont val="Tahoma"/>
            <family val="2"/>
          </rPr>
          <t>1=Coast Range, 2=Puget Lowands, 3=Willamette, 4=Cascades,  6=Eastern Cascades Slopes, 7=Columbia Basin, 8=Northern Rockies. (See Omernik, J. M. 1987, "Aquatic ecoregions of the conterminous United States")</t>
        </r>
      </text>
    </comment>
    <comment ref="C8" authorId="2" shapeId="0" xr:uid="{00000000-0006-0000-0100-000007000000}">
      <text>
        <r>
          <rPr>
            <sz val="9"/>
            <color indexed="81"/>
            <rFont val="Tahoma"/>
            <family val="2"/>
          </rPr>
          <t xml:space="preserve">Select "yes" only if you believe your TN and summer TP scores are unreasonably low. Selecting "Yes" will apply less stringent nitrogen and summer TP curves resulting in higher (better) TN and summer TP scores and possibly higher overall scores. </t>
        </r>
      </text>
    </comment>
    <comment ref="B10" authorId="0" shapeId="0" xr:uid="{00000000-0006-0000-0100-000008000000}">
      <text>
        <r>
          <rPr>
            <sz val="8"/>
            <color indexed="81"/>
            <rFont val="Tahoma"/>
            <family val="2"/>
          </rPr>
          <t>These numbers are determined automatically based on ecoregion and beneficial use.</t>
        </r>
      </text>
    </comment>
    <comment ref="B11" authorId="0" shapeId="0" xr:uid="{00000000-0006-0000-0100-000009000000}">
      <text>
        <r>
          <rPr>
            <sz val="8"/>
            <color indexed="81"/>
            <rFont val="Tahoma"/>
            <family val="2"/>
          </rPr>
          <t>You may edit these numbers to select different curves and override the default curve number. These are the curves used in the calculations.</t>
        </r>
      </text>
    </comment>
  </commentList>
</comments>
</file>

<file path=xl/sharedStrings.xml><?xml version="1.0" encoding="utf-8"?>
<sst xmlns="http://schemas.openxmlformats.org/spreadsheetml/2006/main" count="1398" uniqueCount="192">
  <si>
    <t>Oxygen</t>
  </si>
  <si>
    <t>pH</t>
  </si>
  <si>
    <t>Turbidity</t>
  </si>
  <si>
    <t>A</t>
  </si>
  <si>
    <t xml:space="preserve">Station: </t>
  </si>
  <si>
    <t>Ecoregion:</t>
  </si>
  <si>
    <t>ParamClassID</t>
  </si>
  <si>
    <t>param</t>
  </si>
  <si>
    <t>WQIClass</t>
  </si>
  <si>
    <t>Glacial</t>
  </si>
  <si>
    <t>Criterion</t>
  </si>
  <si>
    <t>Start Month</t>
  </si>
  <si>
    <t>End Month</t>
  </si>
  <si>
    <t>LowerResult</t>
  </si>
  <si>
    <t>UpperResult</t>
  </si>
  <si>
    <t>a</t>
  </si>
  <si>
    <t>b</t>
  </si>
  <si>
    <t>b2</t>
  </si>
  <si>
    <t>Comments</t>
  </si>
  <si>
    <t>Temp</t>
  </si>
  <si>
    <t>B</t>
  </si>
  <si>
    <t>S</t>
  </si>
  <si>
    <t>AA</t>
  </si>
  <si>
    <t>Limited to &gt;5.0 Jun1 through Sep15. (This evaluates ALL of Sep against 5.0 criterion)</t>
  </si>
  <si>
    <t>S2</t>
  </si>
  <si>
    <t>Limited to &gt;5.0  year round</t>
  </si>
  <si>
    <t>ph</t>
  </si>
  <si>
    <t>FC</t>
  </si>
  <si>
    <t>WQI=LN(x)</t>
  </si>
  <si>
    <t>Curve to Use:</t>
  </si>
  <si>
    <t>Default Curve No.:</t>
  </si>
  <si>
    <t>TP</t>
  </si>
  <si>
    <t>TSS</t>
  </si>
  <si>
    <t>TN</t>
  </si>
  <si>
    <t>col/100mL</t>
  </si>
  <si>
    <t>mg/L</t>
  </si>
  <si>
    <t>std. Units</t>
  </si>
  <si>
    <t>C</t>
  </si>
  <si>
    <t>NTU</t>
  </si>
  <si>
    <t>Date</t>
  </si>
  <si>
    <t>Constituent Scores:</t>
  </si>
  <si>
    <t xml:space="preserve">Monthly </t>
  </si>
  <si>
    <t>Scores</t>
  </si>
  <si>
    <t>Overall Score:</t>
  </si>
  <si>
    <t>Interim Scores: Individual results converted to WQI scores.</t>
  </si>
  <si>
    <t>Summary</t>
  </si>
  <si>
    <t>Limitations</t>
  </si>
  <si>
    <t>If you have trouble</t>
  </si>
  <si>
    <t>Make sure your data are entered as numbers and not as text.</t>
  </si>
  <si>
    <t>If you have added your own criteria curves, you must sort the "Curves" worksheet by parameter.</t>
  </si>
  <si>
    <t>Directions</t>
  </si>
  <si>
    <t>Nutrient</t>
  </si>
  <si>
    <t>Score</t>
  </si>
  <si>
    <t>For more information</t>
  </si>
  <si>
    <t>Sediment</t>
  </si>
  <si>
    <t>Penalty</t>
  </si>
  <si>
    <t>Monthly</t>
  </si>
  <si>
    <t>Count</t>
  </si>
  <si>
    <t>This Water Quality Index is designed to rate general water quality relative to expected quality. Monitoring results from monthly grab samples can be converted to scores ranging from 1 to 100. In general, scores less than 40 indicate water quality did not meet expectations. These are areas of highest concern. Scores of 40 to 79 indicate moderate concern, and scores of 80 and greater indicate water quality met expectations and are of lowest concern.</t>
  </si>
  <si>
    <t>Indexes by design contain less information than the raw data that they summarize; many uses of water quality data cannot be met with an index. An index is most useful for comparative purposes (what stations have particularly poor water quality compared to expectations?) and for general questions (how is water quality in my stream?). Indexes are less suited to specific questions. Site-specific decisions should be based on an analysis of the original water quality data. This index should not be used to compare stations unless expectations are the same. In short, an index is a useful tool for "communicating water quality information to the lay public and to legislative decision makers;" it is not "a complex predictive model for technical and scientific application" (McClelland, 1974).</t>
  </si>
  <si>
    <t>Besides being general in nature (imprecise), there are at least two reasons that any index may fail to accurately communicate water quality information. First, this index, like most indexes, is based on a pre-identified set of water quality constituents. A particular station may receive a good WQI score, and yet have water quality impaired by constituents not included in the index. Second, aggregation of data may mask short-term water quality problems. A satisfactory WQI at a particular station does not necessarily mean that water quality was always satisfactory. A good score should, however, indicate that poor water quality (for evaluated constituents, at least) was not chronic.</t>
  </si>
  <si>
    <t>Under the "Main" tab:</t>
  </si>
  <si>
    <t>Low Concern</t>
  </si>
  <si>
    <t>Moderate Concern</t>
  </si>
  <si>
    <t>High Concern</t>
  </si>
  <si>
    <t xml:space="preserve">Input                    </t>
  </si>
  <si>
    <t xml:space="preserve">This spreadsheet is designed to convert and aggregate results from grab samples from a single station and a single year to index scores (up to 12 samples).  Scores must be determined separately for additional stations or years. Twelve monthly samples are not required. Scores may be based on as little as a single sample--though this, of course, may not be sufficiently representative to accurately assess water quality. </t>
  </si>
  <si>
    <t>date</t>
  </si>
  <si>
    <t>Fecal Coliform Bacteria</t>
  </si>
  <si>
    <t>Phosphorus, Total</t>
  </si>
  <si>
    <t>Suspended Solids</t>
  </si>
  <si>
    <t>Temperature</t>
  </si>
  <si>
    <t>Total Persulf Nitrogen</t>
  </si>
  <si>
    <t>KEY</t>
  </si>
  <si>
    <t>Contact me (see below)</t>
  </si>
  <si>
    <t>No</t>
  </si>
  <si>
    <t>1</t>
  </si>
  <si>
    <t>8</t>
  </si>
  <si>
    <t/>
  </si>
  <si>
    <t>4</t>
  </si>
  <si>
    <t>2</t>
  </si>
  <si>
    <t>7</t>
  </si>
  <si>
    <t>STATION</t>
  </si>
  <si>
    <t>Change History</t>
  </si>
  <si>
    <t>11/19/02: Changed title of "Calc Individual WQI scores" button to "Calc Interim WQI scores"</t>
  </si>
  <si>
    <t>11/19/02: Added text to instructions to clarify that security must be set to "low"/macros must be enabled to run the code.</t>
  </si>
  <si>
    <t>Make sure you have enabled macros. You may also need to set security to "low" (Tools/Macro/Security)</t>
  </si>
  <si>
    <t>11/19/02: Fixed a "divide by zero" error when no data were entered for a particular constituent or month.</t>
  </si>
  <si>
    <t>12/13/02: Limited monthly scores to 1. (Overall score was also being miscalculated when monthly scores were &lt;1.)</t>
  </si>
  <si>
    <t xml:space="preserve">09/10/03: Modified code to use similar ecoregions for ecoregions where there were insufficient data to develop curves. Added error handling for unrecognized stream class and ecoregion. </t>
  </si>
  <si>
    <t>06/25/04: Was behaving badly if some dates were missing. Modified code to correct this (re-sorting by original date order after determining minimum scores). This correction is released in version 3c.</t>
  </si>
  <si>
    <t>06/03/2008: The curves that convert results to WQI scores for TP, TSS, temp, and Turb bend back down at very low results (e.g., TP&lt;0.001mg/L), resulting in poorer than expected WQI scores. Added code to set WQI=100 for these constituents when results &lt; 0.003, 1, 5, and 1, respectively.</t>
  </si>
  <si>
    <t>Special(21)</t>
  </si>
  <si>
    <t>Special(20)</t>
  </si>
  <si>
    <t>Char(12)</t>
  </si>
  <si>
    <t>Extraordinary</t>
  </si>
  <si>
    <t>Core(16)</t>
  </si>
  <si>
    <t>01A050</t>
  </si>
  <si>
    <t>FCWQIClass</t>
  </si>
  <si>
    <t>DropDownLists</t>
  </si>
  <si>
    <t>OxygenWQIClass</t>
  </si>
  <si>
    <t>TempWQIClass</t>
  </si>
  <si>
    <t>Turb</t>
  </si>
  <si>
    <t>Recreation Use:</t>
  </si>
  <si>
    <t>Aquatic Life (Temperature):</t>
  </si>
  <si>
    <t>Aquatic Life (Oxygen):</t>
  </si>
  <si>
    <t>There are six tabs. The first, this one, contains instructions and narrative information. The second "Main" tab is where you enter your data and view the index scores. The third "Interim Results" tab shows scores for each individual result. The fourth "Curves" tab contains the equations used to calculate scores. The fifth "Worksheet" tab is for you to use as you wish. I have used it to convert some data in text format (bottom) to numbers (top), which can then be copied to the main tab (paste special/values)--or, as in this example, the main tab is set to equal the values in the worksheet. The last "1997Curves" tab are the equations used in previous versions of the WQI that are based on Ecology's 1997 Water Quality Standards.</t>
  </si>
  <si>
    <t>1. Enter the station's Aquatic Life and Recreation Uses (e.g., Core/Primary; See WAC 173-201A) and Ecoregion (1-4, 6-9).</t>
  </si>
  <si>
    <t>03/30/2009: Corrected some "comments". No substantive changes.</t>
  </si>
  <si>
    <t xml:space="preserve">02/20/2009: Modified curves and curve selection procedures to incorporate 2006 water quality standards.  This version is released as WQIVer4. Supplemental criteria have not been implemented in the spreadsheet, yet, though curves are available on the "curves" tab. </t>
  </si>
  <si>
    <t>SpawnSupSalm</t>
  </si>
  <si>
    <t>CoreSupSalm</t>
  </si>
  <si>
    <t>SpecialSupSalm</t>
  </si>
  <si>
    <t>Supplemental Spawning</t>
  </si>
  <si>
    <t>Supplemental Spawning:</t>
  </si>
  <si>
    <t>None</t>
  </si>
  <si>
    <t>02/15 to 06/01</t>
  </si>
  <si>
    <t>02/15 to 06/15</t>
  </si>
  <si>
    <t>02/15 to 07/01</t>
  </si>
  <si>
    <t>08/15 to 05/15</t>
  </si>
  <si>
    <t>09/01 to 05/15</t>
  </si>
  <si>
    <t>09/15 to 05/15</t>
  </si>
  <si>
    <t>10/01 to 05/15</t>
  </si>
  <si>
    <t>08/01 to 06/15</t>
  </si>
  <si>
    <t>08/15 to 06/15</t>
  </si>
  <si>
    <t>09/01 to 06/15</t>
  </si>
  <si>
    <t>09/15 to 06/15</t>
  </si>
  <si>
    <t>10/01 to 06/15</t>
  </si>
  <si>
    <t>08/15 to 07/01</t>
  </si>
  <si>
    <t>09/01 to 07/01</t>
  </si>
  <si>
    <t>09/15 to 07/01</t>
  </si>
  <si>
    <t>08/01 to 07/15</t>
  </si>
  <si>
    <t>08/15 to 07/15</t>
  </si>
  <si>
    <t>09/01 to 07/15</t>
  </si>
  <si>
    <t>SupSpawn</t>
  </si>
  <si>
    <t>OutSeason</t>
  </si>
  <si>
    <t>U</t>
  </si>
  <si>
    <t>J</t>
  </si>
  <si>
    <t>time</t>
  </si>
  <si>
    <t>COND</t>
  </si>
  <si>
    <t>(umhos/cm)</t>
  </si>
  <si>
    <t>(#/100ml)</t>
  </si>
  <si>
    <t>NH3_N</t>
  </si>
  <si>
    <t>(mg/L)</t>
  </si>
  <si>
    <t>NO2_NO3</t>
  </si>
  <si>
    <t>OP_DIS</t>
  </si>
  <si>
    <t>OXYGEN</t>
  </si>
  <si>
    <t>PH</t>
  </si>
  <si>
    <t>(pH)</t>
  </si>
  <si>
    <t>PRESS</t>
  </si>
  <si>
    <t>(mm/Hg)</t>
  </si>
  <si>
    <t>SUSSOL</t>
  </si>
  <si>
    <t>TEMP</t>
  </si>
  <si>
    <t>(deg C)</t>
  </si>
  <si>
    <t>TP_P</t>
  </si>
  <si>
    <t>TURB</t>
  </si>
  <si>
    <t>(NTU)</t>
  </si>
  <si>
    <t>TPN</t>
  </si>
  <si>
    <t>S1</t>
  </si>
  <si>
    <t>All Uses</t>
  </si>
  <si>
    <t>NA</t>
  </si>
  <si>
    <t>Char</t>
  </si>
  <si>
    <t>Core</t>
  </si>
  <si>
    <t>Spawn(17.5)</t>
  </si>
  <si>
    <t>Rear(17.5)</t>
  </si>
  <si>
    <t>Special Temp Exception with Sup Salm spawning</t>
  </si>
  <si>
    <t>Spawning with Sup Salm spawning</t>
  </si>
  <si>
    <t>Core with Sup salm spawning</t>
  </si>
  <si>
    <t>Primary</t>
  </si>
  <si>
    <t>Secondary</t>
  </si>
  <si>
    <t>Spawning</t>
  </si>
  <si>
    <t>Rearing</t>
  </si>
  <si>
    <t xml:space="preserve">Data can be pasted here from databases or web sites (e.g., http://www.ecy.wa.gov/programs/eap/fw_riv/rv_main.html), </t>
  </si>
  <si>
    <t>cleaned up, then pasted to the "Main" worksheet.</t>
  </si>
  <si>
    <t xml:space="preserve">07/01/2009: Major Change: Added supplemental spawning curves and dropdown to select them. Also adapted code: previous date range had been based on whole months (01/01 represented January). Sup curves include partial months (e.g., 02/15) so changed curves to decimal months. Corrected bug that resulted in some missing data being given WQI scores of 100. Corrected and tweaked some other curves to more closely match criteria at WQI=80. This version is released as WQIVer5. </t>
  </si>
  <si>
    <t>DOC</t>
  </si>
  <si>
    <t>TOC</t>
  </si>
  <si>
    <t>3. Enter the data for the year being evaluated. We use water years, but the index may be calculated on a calendar year basis.</t>
  </si>
  <si>
    <t>5. Click the "Calc Interim WQI Scores" button. This converts individual sample results to scores (stored under the "Interim Results" tab) and aggregates monthly scores.</t>
  </si>
  <si>
    <t xml:space="preserve">6. Click the "Calc Constituent &amp; Overall Scores" button. This aggregates the constituent scores and determines the overall score. </t>
  </si>
  <si>
    <t>There is an overview of the WQI on the web here: http://www.ecy.wa.gov/programs/eap/fw_riv/docs/WQIOverview.html. A detailed description is here: http://www.ecy.wa.gov/biblio/0203052.html. You may contact Markus Von Prause at mvon461@ecy.wa.gov or 360 407-6681. You may download the most recent version of this application here: http://www.ecy.wa.gov/programs/eap/fw_riv/docs/WQIVer6.xls</t>
  </si>
  <si>
    <t>Small Puget Sound Stream:</t>
  </si>
  <si>
    <t>Yes</t>
  </si>
  <si>
    <t>YesNo</t>
  </si>
  <si>
    <t>SmallPS</t>
  </si>
  <si>
    <t xml:space="preserve">Warning: The Small PS streams setting was designed for Ecoregion 2 streams. </t>
  </si>
  <si>
    <t xml:space="preserve">2. Select Yes if you want to use the small Puget Sound streams TN and TP curves and No to use the standard TN and TP curves. The small PS curves were developed using data from King County and the City of Redmond to reflect what they consider to be naturally high TN/TP concentrations in their small streams. (Only the summer TP curves are unique to small PS streams.) Although developed for small streams in Ecoregion 2 (Puget Sound), you may try using these curves if you believe your TN and summer TP scores are  unrealistically low (poor). </t>
  </si>
  <si>
    <t xml:space="preserve">3/1/2014: Corrected a bug that was preventing non-standard curves from being used (i.e., curves in main tab row 10 rather than row 11 were being used).  Also combined the spreadsheet for Small Puget Sound streams with the standard WQI spreadsheet by adding the small PS streams TN and TP curves and a metadata option to select those curves. </t>
  </si>
  <si>
    <t>A Water Quality Index for Washington State streams (Version 6: 2014.06.11).</t>
  </si>
  <si>
    <t>4. Edit the "Curve to Use" numbers if desired (see the "Curves" tab). You may want to do this if there is a station-specific criterion different than the standard class criterion (some special curves are available in the "Curves" tab; you may also add your own, though you will have to unlock the worksheet to edit this tab). You might also want to change the curve numbers if you believe the default curves do not accurately reflect expected conditions for your stream. Or, for example, you may want to use the small PS TN curves but keep the standard TP curves. Keep in mind, however, that if you do not use the standard curve numbers, your results will not be comparable with other stations where standard curves were used.</t>
  </si>
  <si>
    <t>IF MORE Curves are added, look for row "205" in VB code and change as necessary to include  all curves</t>
  </si>
  <si>
    <t>bse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</si>
</sst>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0"/>
      <name val="Arial"/>
    </font>
    <font>
      <sz val="11"/>
      <color indexed="8"/>
      <name val="Calibri"/>
      <family val="2"/>
    </font>
    <font>
      <sz val="10"/>
      <color indexed="8"/>
      <name val="Arial"/>
      <family val="2"/>
    </font>
    <font>
      <b/>
      <sz val="14"/>
      <name val="Arial"/>
      <family val="2"/>
    </font>
    <font>
      <sz val="8"/>
      <color indexed="81"/>
      <name val="Tahoma"/>
      <family val="2"/>
    </font>
    <font>
      <b/>
      <sz val="10"/>
      <name val="Arial"/>
      <family val="2"/>
    </font>
    <font>
      <sz val="7"/>
      <color indexed="81"/>
      <name val="Tahoma"/>
      <family val="2"/>
    </font>
    <font>
      <u/>
      <sz val="10"/>
      <color indexed="12"/>
      <name val="Arial"/>
      <family val="2"/>
    </font>
    <font>
      <sz val="10"/>
      <color indexed="8"/>
      <name val="Arial"/>
      <family val="2"/>
    </font>
    <font>
      <sz val="14"/>
      <name val="Arial"/>
      <family val="2"/>
    </font>
    <font>
      <sz val="10"/>
      <name val="Arial"/>
      <family val="2"/>
    </font>
    <font>
      <b/>
      <sz val="12"/>
      <name val="Arial"/>
      <family val="2"/>
    </font>
    <font>
      <sz val="8"/>
      <name val="Arial"/>
      <family val="2"/>
    </font>
    <font>
      <sz val="11"/>
      <color indexed="8"/>
      <name val="Calibri"/>
      <family val="2"/>
    </font>
    <font>
      <b/>
      <sz val="10"/>
      <color indexed="8"/>
      <name val="Arial"/>
      <family val="2"/>
    </font>
    <font>
      <sz val="12"/>
      <name val="Arial"/>
      <family val="2"/>
    </font>
    <font>
      <b/>
      <u/>
      <sz val="14"/>
      <color indexed="8"/>
      <name val="Arial"/>
      <family val="2"/>
    </font>
    <font>
      <sz val="9"/>
      <color indexed="81"/>
      <name val="Tahoma"/>
      <family val="2"/>
    </font>
    <font>
      <b/>
      <sz val="8"/>
      <name val="Arial"/>
      <family val="2"/>
    </font>
    <font>
      <sz val="8"/>
      <color rgb="FF999999"/>
      <name val="Arial"/>
      <family val="2"/>
    </font>
    <font>
      <sz val="8"/>
      <color theme="2" tint="-9.9978637043366805E-2"/>
      <name val="Arial"/>
      <family val="2"/>
    </font>
    <font>
      <sz val="10"/>
      <color theme="2" tint="-9.9978637043366805E-2"/>
      <name val="Arial"/>
      <family val="2"/>
    </font>
    <font>
      <sz val="10"/>
      <color theme="0"/>
      <name val="Arial"/>
      <family val="2"/>
    </font>
    <font>
      <b/>
      <sz val="8"/>
      <color rgb="FF666666"/>
      <name val="Arial"/>
      <family val="2"/>
    </font>
  </fonts>
  <fills count="14">
    <fill>
      <patternFill patternType="none"/>
    </fill>
    <fill>
      <patternFill patternType="gray125"/>
    </fill>
    <fill>
      <patternFill patternType="solid">
        <fgColor indexed="22"/>
        <bgColor indexed="64"/>
      </patternFill>
    </fill>
    <fill>
      <patternFill patternType="solid">
        <fgColor indexed="22"/>
        <bgColor indexed="0"/>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8"/>
      </patternFill>
    </fill>
    <fill>
      <patternFill patternType="solid">
        <fgColor indexed="26"/>
        <bgColor indexed="64"/>
      </patternFill>
    </fill>
    <fill>
      <patternFill patternType="solid">
        <fgColor indexed="42"/>
        <bgColor indexed="64"/>
      </patternFill>
    </fill>
    <fill>
      <patternFill patternType="solid">
        <fgColor rgb="FFFFFFFF"/>
        <bgColor indexed="64"/>
      </patternFill>
    </fill>
    <fill>
      <patternFill patternType="solid">
        <fgColor rgb="FFCCFFFF"/>
        <bgColor indexed="64"/>
      </patternFill>
    </fill>
    <fill>
      <patternFill patternType="solid">
        <fgColor rgb="FFEEEEEE"/>
        <bgColor indexed="64"/>
      </patternFill>
    </fill>
  </fills>
  <borders count="46">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style="thin">
        <color indexed="64"/>
      </top>
      <bottom/>
      <diagonal/>
    </border>
    <border>
      <left/>
      <right/>
      <top/>
      <bottom style="medium">
        <color indexed="64"/>
      </bottom>
      <diagonal/>
    </border>
    <border>
      <left/>
      <right/>
      <top style="thin">
        <color indexed="64"/>
      </top>
      <bottom style="medium">
        <color indexed="64"/>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22"/>
      </left>
      <right style="thin">
        <color indexed="22"/>
      </right>
      <top/>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22"/>
      </left>
      <right style="thin">
        <color indexed="22"/>
      </right>
      <top style="thin">
        <color indexed="64"/>
      </top>
      <bottom style="thin">
        <color indexed="22"/>
      </bottom>
      <diagonal/>
    </border>
    <border>
      <left style="thin">
        <color indexed="8"/>
      </left>
      <right style="thin">
        <color indexed="8"/>
      </right>
      <top/>
      <bottom/>
      <diagonal/>
    </border>
    <border>
      <left style="thin">
        <color rgb="FF000000"/>
      </left>
      <right style="thin">
        <color rgb="FF000000"/>
      </right>
      <top style="thin">
        <color rgb="FF000000"/>
      </top>
      <bottom style="thin">
        <color rgb="FF000000"/>
      </bottom>
      <diagonal/>
    </border>
    <border>
      <left style="medium">
        <color rgb="FFBBBBBB"/>
      </left>
      <right style="thin">
        <color rgb="FF000000"/>
      </right>
      <top style="thin">
        <color rgb="FF000000"/>
      </top>
      <bottom style="thin">
        <color rgb="FF000000"/>
      </bottom>
      <diagonal/>
    </border>
    <border>
      <left style="medium">
        <color rgb="FFBBBBBB"/>
      </left>
      <right style="thin">
        <color rgb="FF000000"/>
      </right>
      <top style="thin">
        <color rgb="FF000000"/>
      </top>
      <bottom style="medium">
        <color rgb="FF999999"/>
      </bottom>
      <diagonal/>
    </border>
    <border>
      <left style="thin">
        <color rgb="FF000000"/>
      </left>
      <right style="thin">
        <color rgb="FF000000"/>
      </right>
      <top style="thin">
        <color rgb="FF000000"/>
      </top>
      <bottom style="medium">
        <color rgb="FF999999"/>
      </bottom>
      <diagonal/>
    </border>
    <border>
      <left style="thin">
        <color rgb="FF000000"/>
      </left>
      <right style="medium">
        <color rgb="FF999999"/>
      </right>
      <top style="thin">
        <color rgb="FF000000"/>
      </top>
      <bottom style="thin">
        <color rgb="FF000000"/>
      </bottom>
      <diagonal/>
    </border>
    <border>
      <left style="thin">
        <color rgb="FF000000"/>
      </left>
      <right style="medium">
        <color rgb="FF999999"/>
      </right>
      <top style="thin">
        <color rgb="FF000000"/>
      </top>
      <bottom style="medium">
        <color rgb="FF999999"/>
      </bottom>
      <diagonal/>
    </border>
    <border>
      <left style="thin">
        <color rgb="FF000000"/>
      </left>
      <right/>
      <top style="thin">
        <color rgb="FF000000"/>
      </top>
      <bottom/>
      <diagonal/>
    </border>
    <border>
      <left/>
      <right style="medium">
        <color rgb="FF999999"/>
      </right>
      <top style="thin">
        <color rgb="FF000000"/>
      </top>
      <bottom/>
      <diagonal/>
    </border>
    <border>
      <left style="thin">
        <color rgb="FF000000"/>
      </left>
      <right/>
      <top/>
      <bottom style="thin">
        <color rgb="FF000000"/>
      </bottom>
      <diagonal/>
    </border>
    <border>
      <left/>
      <right style="medium">
        <color rgb="FF999999"/>
      </right>
      <top/>
      <bottom style="thin">
        <color rgb="FF000000"/>
      </bottom>
      <diagonal/>
    </border>
    <border>
      <left/>
      <right style="thin">
        <color rgb="FF000000"/>
      </right>
      <top style="thin">
        <color rgb="FF000000"/>
      </top>
      <bottom/>
      <diagonal/>
    </border>
    <border>
      <left/>
      <right style="thin">
        <color rgb="FF000000"/>
      </right>
      <top/>
      <bottom style="thin">
        <color rgb="FF000000"/>
      </bottom>
      <diagonal/>
    </border>
    <border>
      <left style="medium">
        <color rgb="FFBBBBBB"/>
      </left>
      <right style="thin">
        <color rgb="FF000000"/>
      </right>
      <top style="thin">
        <color indexed="8"/>
      </top>
      <bottom/>
      <diagonal/>
    </border>
    <border>
      <left style="medium">
        <color rgb="FFBBBBBB"/>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s>
  <cellStyleXfs count="9">
    <xf numFmtId="0" fontId="0" fillId="0" borderId="0"/>
    <xf numFmtId="0" fontId="7"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cellStyleXfs>
  <cellXfs count="152">
    <xf numFmtId="0" fontId="0" fillId="0" borderId="0" xfId="0"/>
    <xf numFmtId="0" fontId="2" fillId="2" borderId="2" xfId="7" applyFont="1" applyFill="1" applyBorder="1" applyAlignment="1">
      <alignment horizontal="center"/>
    </xf>
    <xf numFmtId="0" fontId="2" fillId="0" borderId="1" xfId="2" applyFont="1" applyFill="1" applyBorder="1" applyAlignment="1">
      <alignment horizontal="right" wrapText="1"/>
    </xf>
    <xf numFmtId="0" fontId="2" fillId="0" borderId="1" xfId="2" applyFont="1" applyFill="1" applyBorder="1" applyAlignment="1">
      <alignment horizontal="left" wrapText="1"/>
    </xf>
    <xf numFmtId="0" fontId="5" fillId="0" borderId="0" xfId="0" applyFont="1"/>
    <xf numFmtId="1" fontId="0" fillId="0" borderId="0" xfId="0" applyNumberFormat="1"/>
    <xf numFmtId="0" fontId="0" fillId="0" borderId="0" xfId="0" applyBorder="1"/>
    <xf numFmtId="0" fontId="3" fillId="0" borderId="0" xfId="0" applyFont="1" applyBorder="1"/>
    <xf numFmtId="0" fontId="2" fillId="0" borderId="1" xfId="4" applyFont="1" applyFill="1" applyBorder="1" applyAlignment="1">
      <alignment horizontal="right" wrapText="1"/>
    </xf>
    <xf numFmtId="22" fontId="2" fillId="0" borderId="1" xfId="7" applyNumberFormat="1" applyFont="1" applyFill="1" applyBorder="1" applyAlignment="1" applyProtection="1">
      <alignment horizontal="right" wrapText="1"/>
    </xf>
    <xf numFmtId="0" fontId="0" fillId="0" borderId="0" xfId="0" applyProtection="1">
      <protection locked="0"/>
    </xf>
    <xf numFmtId="0" fontId="0" fillId="0" borderId="0" xfId="0" applyAlignment="1">
      <alignment wrapText="1"/>
    </xf>
    <xf numFmtId="1" fontId="0" fillId="0" borderId="0" xfId="0" applyNumberFormat="1" applyAlignment="1">
      <alignment wrapText="1"/>
    </xf>
    <xf numFmtId="0" fontId="9" fillId="0" borderId="0" xfId="0" applyFont="1" applyBorder="1"/>
    <xf numFmtId="0" fontId="10" fillId="0" borderId="3" xfId="0" applyFont="1" applyBorder="1" applyAlignment="1">
      <alignment horizontal="left" vertical="top" wrapText="1"/>
    </xf>
    <xf numFmtId="0" fontId="0" fillId="0" borderId="0" xfId="0" applyBorder="1" applyAlignment="1">
      <alignment vertical="top" wrapText="1"/>
    </xf>
    <xf numFmtId="0" fontId="10" fillId="0" borderId="4" xfId="0" applyFont="1" applyBorder="1" applyAlignment="1">
      <alignment horizontal="left" vertical="top" wrapText="1"/>
    </xf>
    <xf numFmtId="0" fontId="8" fillId="0" borderId="5" xfId="1" applyNumberFormat="1" applyFont="1" applyBorder="1" applyAlignment="1" applyProtection="1">
      <alignment horizontal="left" vertical="top" wrapText="1"/>
    </xf>
    <xf numFmtId="0" fontId="2" fillId="3" borderId="2" xfId="4" applyFont="1" applyFill="1" applyBorder="1" applyAlignment="1">
      <alignment horizontal="center"/>
    </xf>
    <xf numFmtId="0" fontId="2" fillId="2" borderId="6" xfId="7" applyFont="1" applyFill="1" applyBorder="1" applyAlignment="1">
      <alignment horizontal="center"/>
    </xf>
    <xf numFmtId="0" fontId="2" fillId="2" borderId="7" xfId="7" applyFont="1" applyFill="1" applyBorder="1" applyAlignment="1">
      <alignment horizontal="center"/>
    </xf>
    <xf numFmtId="0" fontId="2" fillId="2" borderId="8" xfId="7" applyFont="1" applyFill="1" applyBorder="1" applyAlignment="1">
      <alignment horizontal="center"/>
    </xf>
    <xf numFmtId="0" fontId="0" fillId="4" borderId="0" xfId="0" applyFill="1" applyProtection="1">
      <protection locked="0"/>
    </xf>
    <xf numFmtId="0" fontId="0" fillId="4" borderId="0" xfId="0" applyFill="1"/>
    <xf numFmtId="0" fontId="0" fillId="0" borderId="0" xfId="0" applyProtection="1"/>
    <xf numFmtId="1" fontId="0" fillId="5" borderId="9" xfId="0" applyNumberFormat="1" applyFill="1" applyBorder="1" applyProtection="1">
      <protection locked="0"/>
    </xf>
    <xf numFmtId="0" fontId="3" fillId="0" borderId="4" xfId="0" applyFont="1" applyBorder="1"/>
    <xf numFmtId="0" fontId="0" fillId="0" borderId="4" xfId="0" applyBorder="1"/>
    <xf numFmtId="0" fontId="9" fillId="0" borderId="10" xfId="0" applyFont="1" applyBorder="1"/>
    <xf numFmtId="0" fontId="9" fillId="0" borderId="11" xfId="0" applyFont="1" applyBorder="1"/>
    <xf numFmtId="0" fontId="0" fillId="0" borderId="4" xfId="0" applyBorder="1" applyAlignment="1">
      <alignment wrapText="1"/>
    </xf>
    <xf numFmtId="0" fontId="10" fillId="0" borderId="0" xfId="0" applyFont="1" applyFill="1" applyBorder="1" applyAlignment="1">
      <alignment horizontal="left" vertical="top" wrapText="1"/>
    </xf>
    <xf numFmtId="0" fontId="10" fillId="0" borderId="0" xfId="0" applyFont="1" applyBorder="1" applyAlignment="1">
      <alignment horizontal="left" vertical="top" wrapText="1"/>
    </xf>
    <xf numFmtId="0" fontId="10" fillId="0" borderId="4" xfId="0" applyFont="1" applyFill="1" applyBorder="1" applyAlignment="1">
      <alignment horizontal="left" vertical="top" wrapText="1"/>
    </xf>
    <xf numFmtId="1" fontId="11" fillId="5" borderId="12" xfId="0" applyNumberFormat="1" applyFont="1" applyFill="1" applyBorder="1" applyProtection="1">
      <protection locked="0"/>
    </xf>
    <xf numFmtId="1" fontId="0" fillId="6" borderId="13" xfId="0" applyNumberFormat="1" applyFill="1" applyBorder="1" applyProtection="1"/>
    <xf numFmtId="1" fontId="0" fillId="6" borderId="14" xfId="0" applyNumberFormat="1" applyFill="1" applyBorder="1" applyProtection="1"/>
    <xf numFmtId="0" fontId="0" fillId="0" borderId="15" xfId="0" applyBorder="1"/>
    <xf numFmtId="0" fontId="0" fillId="0" borderId="12" xfId="0" applyBorder="1"/>
    <xf numFmtId="0" fontId="0" fillId="0" borderId="0" xfId="0" applyBorder="1" applyAlignment="1">
      <alignment wrapText="1"/>
    </xf>
    <xf numFmtId="0" fontId="2" fillId="3" borderId="2" xfId="3" applyFont="1" applyFill="1" applyBorder="1" applyAlignment="1">
      <alignment horizontal="center"/>
    </xf>
    <xf numFmtId="0" fontId="2" fillId="0" borderId="1" xfId="3" applyFont="1" applyFill="1" applyBorder="1" applyAlignment="1">
      <alignment horizontal="right" wrapText="1"/>
    </xf>
    <xf numFmtId="0" fontId="2" fillId="0" borderId="1" xfId="3" applyFont="1" applyFill="1" applyBorder="1" applyAlignment="1">
      <alignment wrapText="1"/>
    </xf>
    <xf numFmtId="0" fontId="2" fillId="7" borderId="2" xfId="5" applyFont="1" applyFill="1" applyBorder="1" applyAlignment="1">
      <alignment horizontal="center"/>
    </xf>
    <xf numFmtId="0" fontId="0" fillId="7" borderId="0" xfId="0" applyFill="1"/>
    <xf numFmtId="0" fontId="2" fillId="2" borderId="2" xfId="5" applyFont="1" applyFill="1" applyBorder="1" applyAlignment="1">
      <alignment horizontal="center"/>
    </xf>
    <xf numFmtId="0" fontId="2" fillId="0" borderId="1" xfId="5" applyFont="1" applyFill="1" applyBorder="1" applyAlignment="1">
      <alignment horizontal="left" wrapText="1"/>
    </xf>
    <xf numFmtId="164" fontId="2" fillId="8" borderId="16" xfId="7" applyNumberFormat="1" applyFont="1" applyFill="1" applyBorder="1" applyAlignment="1" applyProtection="1">
      <alignment horizontal="left" wrapText="1"/>
      <protection locked="0"/>
    </xf>
    <xf numFmtId="164" fontId="2" fillId="8" borderId="17" xfId="7" applyNumberFormat="1" applyFont="1" applyFill="1" applyBorder="1" applyAlignment="1" applyProtection="1">
      <alignment horizontal="left" wrapText="1"/>
      <protection locked="0"/>
    </xf>
    <xf numFmtId="1" fontId="2" fillId="8" borderId="1" xfId="7" applyNumberFormat="1" applyFont="1" applyFill="1" applyBorder="1" applyAlignment="1" applyProtection="1">
      <alignment horizontal="right" wrapText="1"/>
      <protection locked="0"/>
    </xf>
    <xf numFmtId="22" fontId="0" fillId="0" borderId="0" xfId="0" applyNumberFormat="1"/>
    <xf numFmtId="0" fontId="0" fillId="0" borderId="0" xfId="0" quotePrefix="1" applyAlignment="1">
      <alignment wrapText="1"/>
    </xf>
    <xf numFmtId="0" fontId="2" fillId="0" borderId="18" xfId="4" applyFont="1" applyFill="1" applyBorder="1" applyAlignment="1">
      <alignment horizontal="right" wrapText="1"/>
    </xf>
    <xf numFmtId="20" fontId="12" fillId="11" borderId="30" xfId="0" applyNumberFormat="1" applyFont="1" applyFill="1" applyBorder="1" applyAlignment="1">
      <alignment wrapText="1"/>
    </xf>
    <xf numFmtId="0" fontId="12" fillId="11" borderId="30" xfId="0" applyFont="1" applyFill="1" applyBorder="1" applyAlignment="1">
      <alignment wrapText="1"/>
    </xf>
    <xf numFmtId="0" fontId="12" fillId="12" borderId="30" xfId="0" applyFont="1" applyFill="1" applyBorder="1" applyAlignment="1">
      <alignment wrapText="1"/>
    </xf>
    <xf numFmtId="14" fontId="12" fillId="11" borderId="31" xfId="0" applyNumberFormat="1" applyFont="1" applyFill="1" applyBorder="1" applyAlignment="1">
      <alignment wrapText="1"/>
    </xf>
    <xf numFmtId="14" fontId="12" fillId="11" borderId="32" xfId="0" applyNumberFormat="1" applyFont="1" applyFill="1" applyBorder="1" applyAlignment="1">
      <alignment wrapText="1"/>
    </xf>
    <xf numFmtId="20" fontId="12" fillId="11" borderId="33" xfId="0" applyNumberFormat="1" applyFont="1" applyFill="1" applyBorder="1" applyAlignment="1">
      <alignment wrapText="1"/>
    </xf>
    <xf numFmtId="0" fontId="12" fillId="11" borderId="33" xfId="0" applyFont="1" applyFill="1" applyBorder="1" applyAlignment="1">
      <alignment wrapText="1"/>
    </xf>
    <xf numFmtId="0" fontId="8" fillId="0" borderId="1" xfId="6" applyFont="1" applyFill="1" applyBorder="1" applyAlignment="1">
      <alignment wrapText="1"/>
    </xf>
    <xf numFmtId="0" fontId="13" fillId="0" borderId="1" xfId="2" applyFont="1" applyFill="1" applyBorder="1" applyAlignment="1">
      <alignment horizontal="right" wrapText="1"/>
    </xf>
    <xf numFmtId="0" fontId="13" fillId="0" borderId="1" xfId="2" applyFont="1" applyFill="1" applyBorder="1" applyAlignment="1">
      <alignment wrapText="1"/>
    </xf>
    <xf numFmtId="0" fontId="13" fillId="3" borderId="2" xfId="8" applyFont="1" applyFill="1" applyBorder="1" applyAlignment="1">
      <alignment horizontal="center"/>
    </xf>
    <xf numFmtId="0" fontId="13" fillId="0" borderId="1" xfId="8" applyFont="1" applyFill="1" applyBorder="1" applyAlignment="1"/>
    <xf numFmtId="0" fontId="2" fillId="0" borderId="19" xfId="2" applyFont="1" applyFill="1" applyBorder="1" applyAlignment="1">
      <alignment horizontal="right" wrapText="1"/>
    </xf>
    <xf numFmtId="0" fontId="2" fillId="0" borderId="20" xfId="2" applyFont="1" applyFill="1" applyBorder="1" applyAlignment="1">
      <alignment horizontal="left" wrapText="1"/>
    </xf>
    <xf numFmtId="0" fontId="2" fillId="0" borderId="19" xfId="3" applyFont="1" applyFill="1" applyBorder="1" applyAlignment="1">
      <alignment wrapText="1"/>
    </xf>
    <xf numFmtId="0" fontId="2" fillId="0" borderId="20" xfId="2" applyFont="1" applyFill="1" applyBorder="1" applyAlignment="1">
      <alignment horizontal="right" wrapText="1"/>
    </xf>
    <xf numFmtId="0" fontId="2" fillId="0" borderId="0" xfId="2" applyFont="1" applyFill="1" applyBorder="1" applyAlignment="1">
      <alignment horizontal="right" wrapText="1"/>
    </xf>
    <xf numFmtId="0" fontId="2" fillId="0" borderId="0" xfId="2" applyFont="1" applyFill="1" applyBorder="1" applyAlignment="1">
      <alignment horizontal="left" wrapText="1"/>
    </xf>
    <xf numFmtId="0" fontId="2" fillId="0" borderId="0" xfId="3" applyFont="1" applyFill="1" applyBorder="1" applyAlignment="1">
      <alignment horizontal="right" wrapText="1"/>
    </xf>
    <xf numFmtId="0" fontId="8" fillId="0" borderId="0" xfId="2" applyFont="1" applyFill="1" applyBorder="1" applyAlignment="1">
      <alignment horizontal="left" wrapText="1"/>
    </xf>
    <xf numFmtId="0" fontId="0" fillId="0" borderId="0" xfId="0" applyBorder="1" applyAlignment="1">
      <alignment horizontal="left"/>
    </xf>
    <xf numFmtId="0" fontId="2" fillId="0" borderId="21" xfId="2" applyFont="1" applyFill="1" applyBorder="1" applyAlignment="1">
      <alignment horizontal="right" wrapText="1"/>
    </xf>
    <xf numFmtId="0" fontId="2" fillId="0" borderId="22" xfId="2" applyFont="1" applyFill="1" applyBorder="1" applyAlignment="1">
      <alignment horizontal="left" wrapText="1"/>
    </xf>
    <xf numFmtId="0" fontId="16" fillId="0" borderId="22" xfId="2" applyFont="1" applyFill="1" applyBorder="1" applyAlignment="1"/>
    <xf numFmtId="0" fontId="2" fillId="0" borderId="23" xfId="2" applyFont="1" applyFill="1" applyBorder="1" applyAlignment="1">
      <alignment horizontal="right" wrapText="1"/>
    </xf>
    <xf numFmtId="0" fontId="2" fillId="0" borderId="24" xfId="2" applyFont="1" applyFill="1" applyBorder="1" applyAlignment="1">
      <alignment horizontal="right" wrapText="1"/>
    </xf>
    <xf numFmtId="0" fontId="2" fillId="0" borderId="25" xfId="2" applyFont="1" applyFill="1" applyBorder="1" applyAlignment="1">
      <alignment horizontal="right" wrapText="1"/>
    </xf>
    <xf numFmtId="0" fontId="2" fillId="0" borderId="25" xfId="2" applyFont="1" applyFill="1" applyBorder="1" applyAlignment="1">
      <alignment horizontal="center" wrapText="1"/>
    </xf>
    <xf numFmtId="0" fontId="2" fillId="0" borderId="0" xfId="2" applyFont="1" applyFill="1" applyBorder="1" applyAlignment="1">
      <alignment horizontal="center" wrapText="1"/>
    </xf>
    <xf numFmtId="0" fontId="0" fillId="0" borderId="0" xfId="0" applyBorder="1" applyAlignment="1">
      <alignment horizontal="center"/>
    </xf>
    <xf numFmtId="0" fontId="5" fillId="0" borderId="0" xfId="0" applyFont="1" applyBorder="1" applyAlignment="1">
      <alignment horizontal="left"/>
    </xf>
    <xf numFmtId="0" fontId="2" fillId="0" borderId="0" xfId="3" applyFont="1" applyFill="1" applyBorder="1" applyAlignment="1">
      <alignment horizontal="left" wrapText="1"/>
    </xf>
    <xf numFmtId="0" fontId="14" fillId="0" borderId="0" xfId="2" applyFont="1" applyFill="1" applyBorder="1" applyAlignment="1">
      <alignment horizontal="left" wrapText="1"/>
    </xf>
    <xf numFmtId="0" fontId="14" fillId="0" borderId="0" xfId="3" applyFont="1" applyFill="1" applyBorder="1" applyAlignment="1">
      <alignment horizontal="left" wrapText="1"/>
    </xf>
    <xf numFmtId="0" fontId="2" fillId="0" borderId="24" xfId="2" applyFont="1" applyFill="1" applyBorder="1" applyAlignment="1">
      <alignment horizontal="center" wrapText="1"/>
    </xf>
    <xf numFmtId="0" fontId="0" fillId="0" borderId="24" xfId="0" applyBorder="1" applyAlignment="1">
      <alignment horizontal="center"/>
    </xf>
    <xf numFmtId="0" fontId="5" fillId="0" borderId="0" xfId="0" applyFont="1" applyAlignment="1">
      <alignment horizontal="left"/>
    </xf>
    <xf numFmtId="1" fontId="0" fillId="4" borderId="26" xfId="0" applyNumberFormat="1" applyFill="1" applyBorder="1" applyProtection="1"/>
    <xf numFmtId="1" fontId="0" fillId="4" borderId="27" xfId="0" applyNumberFormat="1" applyFill="1" applyBorder="1" applyProtection="1"/>
    <xf numFmtId="1" fontId="0" fillId="9" borderId="26" xfId="0" applyNumberFormat="1" applyFill="1" applyBorder="1" applyProtection="1"/>
    <xf numFmtId="1" fontId="0" fillId="9" borderId="27" xfId="0" applyNumberFormat="1" applyFill="1" applyBorder="1" applyProtection="1"/>
    <xf numFmtId="0" fontId="10" fillId="0" borderId="5" xfId="0" applyFont="1" applyBorder="1" applyAlignment="1">
      <alignment wrapText="1"/>
    </xf>
    <xf numFmtId="0" fontId="10" fillId="0" borderId="0" xfId="0" applyFont="1" applyAlignment="1">
      <alignment wrapText="1"/>
    </xf>
    <xf numFmtId="0" fontId="0" fillId="0" borderId="0" xfId="0" applyFont="1" applyAlignment="1">
      <alignment wrapText="1"/>
    </xf>
    <xf numFmtId="0" fontId="10" fillId="0" borderId="0" xfId="0" applyFont="1"/>
    <xf numFmtId="0" fontId="0" fillId="0" borderId="0" xfId="0" applyBorder="1" applyAlignment="1">
      <alignment horizontal="right"/>
    </xf>
    <xf numFmtId="0" fontId="0" fillId="0" borderId="0" xfId="0" applyAlignment="1">
      <alignment horizontal="right"/>
    </xf>
    <xf numFmtId="0" fontId="8" fillId="0" borderId="18" xfId="3" applyFont="1" applyFill="1" applyBorder="1" applyAlignment="1">
      <alignment horizontal="right" wrapText="1"/>
    </xf>
    <xf numFmtId="0" fontId="0" fillId="0" borderId="0" xfId="0" applyAlignment="1">
      <alignment horizontal="center"/>
    </xf>
    <xf numFmtId="0" fontId="10" fillId="0" borderId="0" xfId="0" applyFont="1" applyAlignment="1">
      <alignment horizontal="center"/>
    </xf>
    <xf numFmtId="0" fontId="10" fillId="0" borderId="0" xfId="0" applyFont="1" applyAlignment="1">
      <alignment horizontal="left"/>
    </xf>
    <xf numFmtId="0" fontId="2" fillId="0" borderId="1" xfId="2" applyFont="1" applyFill="1" applyBorder="1" applyAlignment="1">
      <alignment horizontal="left"/>
    </xf>
    <xf numFmtId="0" fontId="8" fillId="0" borderId="1" xfId="2" applyFont="1" applyFill="1" applyBorder="1" applyAlignment="1">
      <alignment horizontal="right" wrapText="1"/>
    </xf>
    <xf numFmtId="0" fontId="12" fillId="11" borderId="34" xfId="0" applyFont="1" applyFill="1" applyBorder="1" applyAlignment="1">
      <alignment wrapText="1"/>
    </xf>
    <xf numFmtId="0" fontId="12" fillId="11" borderId="35" xfId="0" applyFont="1" applyFill="1" applyBorder="1" applyAlignment="1">
      <alignment wrapText="1"/>
    </xf>
    <xf numFmtId="0" fontId="2" fillId="7" borderId="2" xfId="5" applyFont="1" applyFill="1" applyBorder="1" applyAlignment="1">
      <alignment horizontal="left"/>
    </xf>
    <xf numFmtId="0" fontId="8" fillId="0" borderId="28" xfId="2" applyFont="1" applyFill="1" applyBorder="1" applyAlignment="1">
      <alignment horizontal="left"/>
    </xf>
    <xf numFmtId="0" fontId="19" fillId="13" borderId="33" xfId="0" applyFont="1" applyFill="1" applyBorder="1" applyAlignment="1">
      <alignment wrapText="1"/>
    </xf>
    <xf numFmtId="0" fontId="12" fillId="12" borderId="33" xfId="0" applyFont="1" applyFill="1" applyBorder="1" applyAlignment="1">
      <alignment wrapText="1"/>
    </xf>
    <xf numFmtId="0" fontId="19" fillId="13" borderId="30" xfId="0" applyFont="1" applyFill="1" applyBorder="1" applyAlignment="1">
      <alignment wrapText="1"/>
    </xf>
    <xf numFmtId="0" fontId="20" fillId="0" borderId="0" xfId="0" applyFont="1" applyBorder="1" applyAlignment="1">
      <alignment horizontal="right"/>
    </xf>
    <xf numFmtId="0" fontId="21" fillId="0" borderId="0" xfId="0" applyFont="1" applyAlignment="1">
      <alignment horizontal="center"/>
    </xf>
    <xf numFmtId="0" fontId="0" fillId="0" borderId="0" xfId="0" applyBorder="1" applyProtection="1"/>
    <xf numFmtId="0" fontId="0" fillId="0" borderId="0" xfId="0" applyAlignment="1" applyProtection="1">
      <alignment horizontal="right"/>
    </xf>
    <xf numFmtId="0" fontId="20" fillId="0" borderId="0" xfId="0" applyFont="1" applyBorder="1" applyAlignment="1" applyProtection="1">
      <alignment horizontal="right"/>
    </xf>
    <xf numFmtId="0" fontId="21" fillId="0" borderId="0" xfId="0" applyFont="1" applyAlignment="1" applyProtection="1">
      <alignment horizontal="center"/>
    </xf>
    <xf numFmtId="0" fontId="5" fillId="0" borderId="0" xfId="0" applyFont="1" applyAlignment="1" applyProtection="1">
      <alignment horizontal="left"/>
    </xf>
    <xf numFmtId="0" fontId="2" fillId="0" borderId="1" xfId="7" applyFont="1" applyFill="1" applyBorder="1" applyAlignment="1" applyProtection="1">
      <alignment horizontal="left" wrapText="1"/>
    </xf>
    <xf numFmtId="0" fontId="2" fillId="2" borderId="2" xfId="7" applyFont="1" applyFill="1" applyBorder="1" applyAlignment="1" applyProtection="1">
      <alignment horizontal="center"/>
    </xf>
    <xf numFmtId="0" fontId="2" fillId="2" borderId="29" xfId="7" applyFont="1" applyFill="1" applyBorder="1" applyAlignment="1" applyProtection="1">
      <alignment horizontal="center"/>
    </xf>
    <xf numFmtId="0" fontId="2" fillId="0" borderId="1" xfId="6" applyFont="1" applyFill="1" applyBorder="1" applyAlignment="1" applyProtection="1">
      <alignment wrapText="1"/>
    </xf>
    <xf numFmtId="0" fontId="0" fillId="0" borderId="15" xfId="0" applyBorder="1" applyProtection="1"/>
    <xf numFmtId="0" fontId="5" fillId="0" borderId="15" xfId="0" applyFont="1" applyBorder="1" applyAlignment="1" applyProtection="1">
      <alignment horizontal="right"/>
    </xf>
    <xf numFmtId="0" fontId="13" fillId="3" borderId="2" xfId="2" applyFont="1" applyFill="1" applyBorder="1" applyAlignment="1">
      <alignment horizontal="center"/>
    </xf>
    <xf numFmtId="0" fontId="13" fillId="0" borderId="1" xfId="2" applyFont="1" applyFill="1" applyBorder="1" applyAlignment="1">
      <alignment horizontal="center" wrapText="1"/>
    </xf>
    <xf numFmtId="0" fontId="10" fillId="7" borderId="0" xfId="0" applyFont="1" applyFill="1"/>
    <xf numFmtId="22" fontId="0" fillId="0" borderId="0" xfId="0" applyNumberFormat="1" applyProtection="1">
      <protection locked="0"/>
    </xf>
    <xf numFmtId="0" fontId="1" fillId="0" borderId="1" xfId="2" applyFont="1" applyFill="1" applyBorder="1" applyAlignment="1">
      <alignment horizontal="right" wrapText="1"/>
    </xf>
    <xf numFmtId="0" fontId="1" fillId="0" borderId="1" xfId="2" applyFont="1" applyFill="1" applyBorder="1" applyAlignment="1">
      <alignment wrapText="1"/>
    </xf>
    <xf numFmtId="0" fontId="22" fillId="0" borderId="0" xfId="0" applyFont="1" applyBorder="1" applyProtection="1"/>
    <xf numFmtId="0" fontId="2" fillId="0" borderId="28" xfId="2" applyFont="1" applyFill="1" applyBorder="1" applyAlignment="1">
      <alignment horizontal="left"/>
    </xf>
    <xf numFmtId="0" fontId="0" fillId="10" borderId="13" xfId="0" applyFill="1" applyBorder="1" applyAlignment="1" applyProtection="1">
      <alignment horizontal="center"/>
      <protection locked="0"/>
    </xf>
    <xf numFmtId="0" fontId="0" fillId="10" borderId="14" xfId="0" applyFill="1" applyBorder="1" applyAlignment="1" applyProtection="1">
      <alignment horizontal="center"/>
      <protection locked="0"/>
    </xf>
    <xf numFmtId="0" fontId="15" fillId="10" borderId="21" xfId="0" applyFont="1" applyFill="1" applyBorder="1" applyAlignment="1" applyProtection="1">
      <alignment horizontal="center"/>
      <protection locked="0"/>
    </xf>
    <xf numFmtId="0" fontId="15" fillId="10" borderId="23" xfId="0" applyFont="1" applyFill="1" applyBorder="1" applyAlignment="1" applyProtection="1">
      <alignment horizontal="center"/>
      <protection locked="0"/>
    </xf>
    <xf numFmtId="0" fontId="0" fillId="10" borderId="24" xfId="0" applyFill="1" applyBorder="1" applyAlignment="1" applyProtection="1">
      <alignment horizontal="center"/>
      <protection locked="0"/>
    </xf>
    <xf numFmtId="0" fontId="0" fillId="10" borderId="25" xfId="0" applyFill="1" applyBorder="1" applyAlignment="1" applyProtection="1">
      <alignment horizontal="center"/>
      <protection locked="0"/>
    </xf>
    <xf numFmtId="0" fontId="10" fillId="10" borderId="24" xfId="0" applyFont="1" applyFill="1" applyBorder="1" applyAlignment="1" applyProtection="1">
      <alignment horizontal="center"/>
      <protection locked="0"/>
    </xf>
    <xf numFmtId="0" fontId="18" fillId="13" borderId="36" xfId="0" applyFont="1" applyFill="1" applyBorder="1" applyAlignment="1">
      <alignment horizontal="center" vertical="center" wrapText="1"/>
    </xf>
    <xf numFmtId="0" fontId="18" fillId="13" borderId="37" xfId="0" applyFont="1" applyFill="1" applyBorder="1" applyAlignment="1">
      <alignment horizontal="center" vertical="center" wrapText="1"/>
    </xf>
    <xf numFmtId="0" fontId="23" fillId="13" borderId="38" xfId="0" applyFont="1" applyFill="1" applyBorder="1" applyAlignment="1">
      <alignment horizontal="center" vertical="center" wrapText="1"/>
    </xf>
    <xf numFmtId="0" fontId="23" fillId="13" borderId="39" xfId="0" applyFont="1" applyFill="1" applyBorder="1" applyAlignment="1">
      <alignment horizontal="center" vertical="center" wrapText="1"/>
    </xf>
    <xf numFmtId="0" fontId="18" fillId="13" borderId="40" xfId="0" applyFont="1" applyFill="1" applyBorder="1" applyAlignment="1">
      <alignment horizontal="center" vertical="center" wrapText="1"/>
    </xf>
    <xf numFmtId="0" fontId="23" fillId="13" borderId="41" xfId="0" applyFont="1" applyFill="1" applyBorder="1" applyAlignment="1">
      <alignment horizontal="center" vertical="center" wrapText="1"/>
    </xf>
    <xf numFmtId="0" fontId="18" fillId="13" borderId="42" xfId="0" applyFont="1" applyFill="1" applyBorder="1" applyAlignment="1">
      <alignment horizontal="center" vertical="center" wrapText="1"/>
    </xf>
    <xf numFmtId="0" fontId="18" fillId="13" borderId="43" xfId="0" applyFont="1" applyFill="1" applyBorder="1" applyAlignment="1">
      <alignment horizontal="center" vertical="center" wrapText="1"/>
    </xf>
    <xf numFmtId="0" fontId="18" fillId="13" borderId="44" xfId="0" applyFont="1" applyFill="1" applyBorder="1" applyAlignment="1">
      <alignment horizontal="center" vertical="center" wrapText="1"/>
    </xf>
    <xf numFmtId="0" fontId="18" fillId="13" borderId="45" xfId="0" applyFont="1" applyFill="1" applyBorder="1" applyAlignment="1">
      <alignment horizontal="center" vertical="center" wrapText="1"/>
    </xf>
    <xf numFmtId="0" fontId="10" fillId="0" borderId="0" xfId="0" applyFont="1" applyProtection="1">
      <protection locked="0"/>
    </xf>
  </cellXfs>
  <cellStyles count="9">
    <cellStyle name="Hyperlink" xfId="1" builtinId="8"/>
    <cellStyle name="Normal" xfId="0" builtinId="0"/>
    <cellStyle name="Normal_Curves" xfId="2" xr:uid="{00000000-0005-0000-0000-000002000000}"/>
    <cellStyle name="Normal_Curves_1" xfId="3" xr:uid="{00000000-0005-0000-0000-000003000000}"/>
    <cellStyle name="Normal_Interim Results" xfId="4" xr:uid="{00000000-0005-0000-0000-000004000000}"/>
    <cellStyle name="Normal_Notes" xfId="5" xr:uid="{00000000-0005-0000-0000-000005000000}"/>
    <cellStyle name="Normal_Notes_1" xfId="6" xr:uid="{00000000-0005-0000-0000-000006000000}"/>
    <cellStyle name="Normal_Sheet1" xfId="7" xr:uid="{00000000-0005-0000-0000-000007000000}"/>
    <cellStyle name="Normal_Worksheet" xfId="8" xr:uid="{00000000-0005-0000-0000-000008000000}"/>
  </cellStyles>
  <dxfs count="29">
    <dxf>
      <font>
        <b/>
        <i val="0"/>
        <color theme="9" tint="-0.24994659260841701"/>
      </font>
    </dxf>
    <dxf>
      <font>
        <b/>
        <i val="0"/>
        <color theme="9" tint="-0.24994659260841701"/>
      </font>
    </dxf>
    <dxf>
      <font>
        <color theme="9" tint="-0.499984740745262"/>
      </font>
      <fill>
        <patternFill patternType="none">
          <bgColor indexed="65"/>
        </patternFill>
      </fill>
    </dxf>
    <dxf>
      <font>
        <color theme="0"/>
      </font>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ont>
        <condense val="0"/>
        <extend val="0"/>
        <color rgb="FF006100"/>
      </font>
      <fill>
        <patternFill>
          <bgColor rgb="FFC6EFCE"/>
        </patternFill>
      </fill>
    </dxf>
    <dxf>
      <font>
        <color theme="9" tint="-0.499984740745262"/>
      </font>
      <fill>
        <patternFill>
          <bgColor theme="9" tint="0.59996337778862885"/>
        </patternFill>
      </fill>
    </dxf>
    <dxf>
      <fill>
        <patternFill>
          <bgColor indexed="26"/>
        </patternFill>
      </fill>
    </dxf>
    <dxf>
      <fill>
        <patternFill>
          <bgColor indexed="27"/>
        </patternFill>
      </fill>
    </dxf>
    <dxf>
      <fill>
        <patternFill patternType="solid">
          <bgColor indexed="45"/>
        </patternFill>
      </fill>
    </dxf>
    <dxf>
      <fill>
        <patternFill>
          <bgColor indexed="26"/>
        </patternFill>
      </fill>
    </dxf>
    <dxf>
      <fill>
        <patternFill>
          <bgColor indexed="27"/>
        </patternFill>
      </fill>
    </dxf>
    <dxf>
      <fill>
        <patternFill patternType="solid">
          <bgColor indexed="45"/>
        </patternFill>
      </fill>
    </dxf>
    <dxf>
      <fill>
        <patternFill>
          <bgColor indexed="26"/>
        </patternFill>
      </fill>
    </dxf>
    <dxf>
      <fill>
        <patternFill>
          <bgColor indexed="31"/>
        </patternFill>
      </fill>
    </dxf>
    <dxf>
      <fill>
        <patternFill patternType="solid">
          <bgColor indexed="4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552450</xdr:colOff>
          <xdr:row>32</xdr:row>
          <xdr:rowOff>38100</xdr:rowOff>
        </xdr:from>
        <xdr:to>
          <xdr:col>10</xdr:col>
          <xdr:colOff>542925</xdr:colOff>
          <xdr:row>34</xdr:row>
          <xdr:rowOff>152400</xdr:rowOff>
        </xdr:to>
        <xdr:sp macro="" textlink="">
          <xdr:nvSpPr>
            <xdr:cNvPr id="1027" name="UpdateCurve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2</xdr:row>
          <xdr:rowOff>0</xdr:rowOff>
        </xdr:from>
        <xdr:to>
          <xdr:col>6</xdr:col>
          <xdr:colOff>342900</xdr:colOff>
          <xdr:row>4</xdr:row>
          <xdr:rowOff>114300</xdr:rowOff>
        </xdr:to>
        <xdr:sp macro="" textlink="">
          <xdr:nvSpPr>
            <xdr:cNvPr id="1028" name="CalcScores"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2</xdr:row>
          <xdr:rowOff>0</xdr:rowOff>
        </xdr:from>
        <xdr:to>
          <xdr:col>8</xdr:col>
          <xdr:colOff>361950</xdr:colOff>
          <xdr:row>4</xdr:row>
          <xdr:rowOff>114300</xdr:rowOff>
        </xdr:to>
        <xdr:sp macro="" textlink="">
          <xdr:nvSpPr>
            <xdr:cNvPr id="1029" name="Aggregate"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V38"/>
  <sheetViews>
    <sheetView topLeftCell="A22" zoomScale="120" zoomScaleNormal="120" workbookViewId="0">
      <selection activeCell="A17" sqref="A17"/>
    </sheetView>
  </sheetViews>
  <sheetFormatPr defaultRowHeight="12.75" x14ac:dyDescent="0.2"/>
  <cols>
    <col min="1" max="1" width="106.140625" customWidth="1"/>
    <col min="2" max="2" width="18.140625" customWidth="1"/>
    <col min="13" max="13" width="12.5703125" customWidth="1"/>
  </cols>
  <sheetData>
    <row r="1" spans="1:10" ht="18" x14ac:dyDescent="0.25">
      <c r="A1" s="7" t="str">
        <f>Main!A1</f>
        <v>A Water Quality Index for Washington State streams (Version 6: 2014.06.11).</v>
      </c>
      <c r="C1" s="5"/>
      <c r="D1" s="5"/>
      <c r="E1" s="5"/>
      <c r="F1" s="5"/>
      <c r="G1" s="5"/>
      <c r="H1" s="5"/>
      <c r="I1" s="5"/>
      <c r="J1" s="5"/>
    </row>
    <row r="2" spans="1:10" ht="18" x14ac:dyDescent="0.25">
      <c r="A2" s="13" t="s">
        <v>45</v>
      </c>
      <c r="C2" s="5"/>
      <c r="D2" s="5"/>
      <c r="E2" s="5"/>
      <c r="F2" s="5"/>
      <c r="G2" s="5"/>
      <c r="H2" s="5"/>
      <c r="I2" s="5"/>
      <c r="J2" s="5"/>
    </row>
    <row r="3" spans="1:10" ht="60" customHeight="1" thickBot="1" x14ac:dyDescent="0.25">
      <c r="A3" s="17" t="s">
        <v>58</v>
      </c>
      <c r="B3" s="11"/>
      <c r="C3" s="12"/>
      <c r="D3" s="12"/>
      <c r="E3" s="12"/>
      <c r="F3" s="12"/>
      <c r="G3" s="5"/>
      <c r="H3" s="5"/>
      <c r="I3" s="5"/>
      <c r="J3" s="5"/>
    </row>
    <row r="4" spans="1:10" ht="18" x14ac:dyDescent="0.25">
      <c r="A4" s="13" t="s">
        <v>46</v>
      </c>
      <c r="B4" s="11"/>
      <c r="C4" s="12"/>
      <c r="D4" s="12"/>
      <c r="E4" s="12"/>
      <c r="F4" s="12"/>
      <c r="G4" s="5"/>
      <c r="H4" s="5"/>
      <c r="I4" s="5"/>
      <c r="J4" s="5"/>
    </row>
    <row r="5" spans="1:10" ht="89.25" x14ac:dyDescent="0.2">
      <c r="A5" s="14" t="s">
        <v>59</v>
      </c>
      <c r="B5" s="11"/>
      <c r="C5" s="12"/>
      <c r="D5" s="12"/>
      <c r="E5" s="12"/>
      <c r="F5" s="12"/>
      <c r="G5" s="5"/>
      <c r="H5" s="5"/>
      <c r="I5" s="5"/>
      <c r="J5" s="5"/>
    </row>
    <row r="6" spans="1:10" x14ac:dyDescent="0.2">
      <c r="A6" s="15"/>
      <c r="B6" s="11"/>
      <c r="C6" s="12"/>
      <c r="D6" s="12"/>
      <c r="E6" s="12"/>
      <c r="F6" s="12"/>
      <c r="G6" s="5"/>
      <c r="H6" s="5"/>
      <c r="I6" s="5"/>
      <c r="J6" s="5"/>
    </row>
    <row r="7" spans="1:10" ht="77.25" thickBot="1" x14ac:dyDescent="0.25">
      <c r="A7" s="16" t="s">
        <v>60</v>
      </c>
      <c r="B7" s="11"/>
      <c r="C7" s="12"/>
      <c r="D7" s="12"/>
      <c r="E7" s="12"/>
      <c r="F7" s="12"/>
      <c r="G7" s="5"/>
      <c r="H7" s="5"/>
      <c r="I7" s="5"/>
      <c r="J7" s="5"/>
    </row>
    <row r="8" spans="1:10" ht="18" x14ac:dyDescent="0.25">
      <c r="A8" s="28" t="s">
        <v>50</v>
      </c>
      <c r="B8" s="11"/>
      <c r="C8" s="12"/>
      <c r="D8" s="12"/>
      <c r="E8" s="12"/>
      <c r="F8" s="12"/>
      <c r="G8" s="5"/>
      <c r="H8" s="5"/>
      <c r="I8" s="5"/>
      <c r="J8" s="5"/>
    </row>
    <row r="9" spans="1:10" ht="51.75" customHeight="1" x14ac:dyDescent="0.2">
      <c r="A9" s="32" t="s">
        <v>66</v>
      </c>
    </row>
    <row r="10" spans="1:10" x14ac:dyDescent="0.2">
      <c r="A10" s="6"/>
      <c r="B10" s="11"/>
      <c r="C10" s="12"/>
      <c r="D10" s="12"/>
      <c r="E10" s="12"/>
      <c r="F10" s="12"/>
      <c r="G10" s="5"/>
      <c r="H10" s="5"/>
      <c r="I10" s="5"/>
      <c r="J10" s="5"/>
    </row>
    <row r="11" spans="1:10" ht="76.5" x14ac:dyDescent="0.2">
      <c r="A11" s="31" t="s">
        <v>106</v>
      </c>
      <c r="B11" s="11"/>
      <c r="C11" s="12"/>
      <c r="D11" s="12"/>
      <c r="E11" s="12"/>
      <c r="F11" s="12"/>
      <c r="G11" s="5"/>
      <c r="H11" s="5"/>
      <c r="I11" s="5"/>
      <c r="J11" s="5"/>
    </row>
    <row r="12" spans="1:10" x14ac:dyDescent="0.2">
      <c r="A12" s="6"/>
      <c r="B12" s="11"/>
      <c r="C12" s="12"/>
      <c r="D12" s="12"/>
      <c r="E12" s="12"/>
      <c r="F12" s="12"/>
      <c r="G12" s="5"/>
      <c r="H12" s="5"/>
      <c r="I12" s="5"/>
      <c r="J12" s="5"/>
    </row>
    <row r="13" spans="1:10" x14ac:dyDescent="0.2">
      <c r="A13" s="6" t="s">
        <v>61</v>
      </c>
      <c r="B13" s="11"/>
      <c r="C13" s="12"/>
      <c r="D13" s="12"/>
      <c r="E13" s="12"/>
      <c r="F13" s="12"/>
      <c r="G13" s="5"/>
      <c r="H13" s="5"/>
      <c r="I13" s="5"/>
      <c r="J13" s="5"/>
    </row>
    <row r="14" spans="1:10" x14ac:dyDescent="0.2">
      <c r="A14" s="31" t="s">
        <v>107</v>
      </c>
      <c r="B14" s="11"/>
      <c r="C14" s="12"/>
      <c r="D14" s="12"/>
      <c r="E14" s="12"/>
      <c r="F14" s="12"/>
      <c r="G14" s="5"/>
      <c r="H14" s="5"/>
      <c r="I14" s="5"/>
      <c r="J14" s="5"/>
    </row>
    <row r="15" spans="1:10" ht="63.75" x14ac:dyDescent="0.2">
      <c r="A15" s="31" t="s">
        <v>186</v>
      </c>
      <c r="B15" s="11"/>
      <c r="C15" s="12"/>
      <c r="D15" s="12"/>
      <c r="E15" s="12"/>
      <c r="F15" s="12"/>
      <c r="G15" s="5"/>
      <c r="H15" s="5"/>
      <c r="I15" s="5"/>
      <c r="J15" s="5"/>
    </row>
    <row r="16" spans="1:10" s="31" customFormat="1" ht="15" customHeight="1" x14ac:dyDescent="0.2">
      <c r="A16" s="31" t="s">
        <v>177</v>
      </c>
    </row>
    <row r="17" spans="1:256" ht="76.5" x14ac:dyDescent="0.2">
      <c r="A17" s="31" t="s">
        <v>189</v>
      </c>
      <c r="B17" s="11"/>
      <c r="C17" s="12"/>
      <c r="D17" s="12"/>
      <c r="E17" s="12"/>
      <c r="F17" s="12"/>
      <c r="G17" s="5"/>
      <c r="H17" s="5"/>
      <c r="I17" s="5"/>
      <c r="J17" s="5"/>
    </row>
    <row r="18" spans="1:256" ht="25.5" x14ac:dyDescent="0.2">
      <c r="A18" s="31" t="s">
        <v>178</v>
      </c>
      <c r="B18" s="11"/>
      <c r="C18" s="12"/>
      <c r="D18" s="12"/>
      <c r="E18" s="12"/>
      <c r="F18" s="12"/>
      <c r="G18" s="5"/>
      <c r="H18" s="5"/>
      <c r="I18" s="5"/>
      <c r="J18" s="5"/>
    </row>
    <row r="19" spans="1:256" s="27" customFormat="1" ht="26.25" thickBot="1" x14ac:dyDescent="0.25">
      <c r="A19" s="33" t="s">
        <v>179</v>
      </c>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row>
    <row r="20" spans="1:256" ht="18" x14ac:dyDescent="0.25">
      <c r="A20" s="13" t="s">
        <v>47</v>
      </c>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row>
    <row r="21" spans="1:256" x14ac:dyDescent="0.2">
      <c r="A21" s="39" t="s">
        <v>48</v>
      </c>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row>
    <row r="22" spans="1:256" s="27" customFormat="1" ht="13.5" thickBot="1" x14ac:dyDescent="0.25">
      <c r="A22" s="39" t="s">
        <v>49</v>
      </c>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row>
    <row r="23" spans="1:256" s="6" customFormat="1" x14ac:dyDescent="0.2">
      <c r="A23" s="39" t="s">
        <v>86</v>
      </c>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11"/>
      <c r="IP23" s="11"/>
      <c r="IQ23" s="11"/>
      <c r="IR23" s="11"/>
      <c r="IS23" s="11"/>
      <c r="IT23" s="11"/>
      <c r="IU23" s="11"/>
      <c r="IV23" s="11"/>
    </row>
    <row r="24" spans="1:256" s="6" customFormat="1" ht="13.5" thickBot="1" x14ac:dyDescent="0.25">
      <c r="A24" s="30" t="s">
        <v>74</v>
      </c>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row>
    <row r="25" spans="1:256" ht="18" x14ac:dyDescent="0.25">
      <c r="A25" s="29" t="s">
        <v>53</v>
      </c>
      <c r="B25" s="11"/>
      <c r="C25" s="12"/>
      <c r="D25" s="12"/>
      <c r="E25" s="12"/>
      <c r="F25" s="12"/>
      <c r="G25" s="5"/>
      <c r="H25" s="5"/>
      <c r="I25" s="5"/>
      <c r="J25" s="5"/>
    </row>
    <row r="26" spans="1:256" ht="54.75" customHeight="1" thickBot="1" x14ac:dyDescent="0.25">
      <c r="A26" s="94" t="s">
        <v>180</v>
      </c>
      <c r="B26" s="11"/>
      <c r="C26" s="11"/>
      <c r="D26" s="11"/>
      <c r="E26" s="11"/>
      <c r="F26" s="11"/>
    </row>
    <row r="27" spans="1:256" ht="18" x14ac:dyDescent="0.25">
      <c r="A27" s="29" t="s">
        <v>83</v>
      </c>
      <c r="B27" s="11"/>
      <c r="C27" s="12"/>
      <c r="D27" s="12"/>
      <c r="E27" s="12"/>
      <c r="F27" s="12"/>
      <c r="G27" s="5"/>
      <c r="H27" s="5"/>
      <c r="I27" s="5"/>
      <c r="J27" s="5"/>
    </row>
    <row r="28" spans="1:256" x14ac:dyDescent="0.2">
      <c r="A28" s="11" t="s">
        <v>87</v>
      </c>
    </row>
    <row r="29" spans="1:256" x14ac:dyDescent="0.2">
      <c r="A29" s="11" t="s">
        <v>84</v>
      </c>
    </row>
    <row r="30" spans="1:256" x14ac:dyDescent="0.2">
      <c r="A30" s="11" t="s">
        <v>85</v>
      </c>
    </row>
    <row r="31" spans="1:256" x14ac:dyDescent="0.2">
      <c r="A31" s="51" t="s">
        <v>88</v>
      </c>
    </row>
    <row r="32" spans="1:256" ht="25.5" x14ac:dyDescent="0.2">
      <c r="A32" s="51" t="s">
        <v>89</v>
      </c>
    </row>
    <row r="33" spans="1:1" ht="25.5" x14ac:dyDescent="0.2">
      <c r="A33" s="51" t="s">
        <v>90</v>
      </c>
    </row>
    <row r="34" spans="1:1" ht="38.25" x14ac:dyDescent="0.2">
      <c r="A34" s="51" t="s">
        <v>91</v>
      </c>
    </row>
    <row r="35" spans="1:1" ht="38.25" x14ac:dyDescent="0.2">
      <c r="A35" s="95" t="s">
        <v>109</v>
      </c>
    </row>
    <row r="36" spans="1:1" x14ac:dyDescent="0.2">
      <c r="A36" s="96" t="s">
        <v>108</v>
      </c>
    </row>
    <row r="37" spans="1:1" ht="63.75" x14ac:dyDescent="0.2">
      <c r="A37" s="95" t="s">
        <v>174</v>
      </c>
    </row>
    <row r="38" spans="1:1" ht="38.25" x14ac:dyDescent="0.2">
      <c r="A38" s="95" t="s">
        <v>187</v>
      </c>
    </row>
  </sheetData>
  <sheetProtection sheet="1" selectLockedCells="1"/>
  <phoneticPr fontId="0" type="noConversion"/>
  <pageMargins left="0.75" right="0.75" top="1" bottom="1" header="0.5" footer="0.5"/>
  <pageSetup orientation="portrait" horizont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47"/>
  <sheetViews>
    <sheetView topLeftCell="A13" zoomScale="120" zoomScaleNormal="120" workbookViewId="0">
      <selection activeCell="C26" sqref="C26"/>
    </sheetView>
  </sheetViews>
  <sheetFormatPr defaultRowHeight="12.75" x14ac:dyDescent="0.2"/>
  <cols>
    <col min="1" max="1" width="10.42578125" customWidth="1"/>
    <col min="2" max="2" width="16.140625" customWidth="1"/>
    <col min="3" max="11" width="8.7109375" customWidth="1"/>
  </cols>
  <sheetData>
    <row r="1" spans="1:12" ht="18.75" thickBot="1" x14ac:dyDescent="0.3">
      <c r="A1" s="26" t="s">
        <v>188</v>
      </c>
      <c r="B1" s="27"/>
      <c r="C1" s="6"/>
      <c r="D1" s="6"/>
      <c r="E1" s="27"/>
      <c r="F1" s="27"/>
      <c r="G1" s="27"/>
      <c r="H1" s="6"/>
      <c r="I1" s="6"/>
    </row>
    <row r="2" spans="1:12" ht="14.25" customHeight="1" thickBot="1" x14ac:dyDescent="0.25">
      <c r="A2" s="83" t="s">
        <v>4</v>
      </c>
      <c r="C2" s="136" t="s">
        <v>191</v>
      </c>
      <c r="D2" s="137"/>
      <c r="E2" s="6"/>
      <c r="F2" s="6"/>
      <c r="G2" s="6"/>
      <c r="H2" s="6"/>
      <c r="I2" s="6"/>
      <c r="J2" s="37" t="s">
        <v>73</v>
      </c>
      <c r="K2" s="38"/>
      <c r="L2" s="6"/>
    </row>
    <row r="3" spans="1:12" ht="12.75" customHeight="1" x14ac:dyDescent="0.2">
      <c r="A3" s="83" t="s">
        <v>103</v>
      </c>
      <c r="C3" s="138" t="s">
        <v>168</v>
      </c>
      <c r="D3" s="139"/>
      <c r="E3" s="6"/>
      <c r="F3" s="6"/>
      <c r="G3" s="6"/>
      <c r="H3" s="6"/>
      <c r="I3" s="6"/>
      <c r="J3" s="47" t="s">
        <v>65</v>
      </c>
      <c r="K3" s="48"/>
      <c r="L3" s="6"/>
    </row>
    <row r="4" spans="1:12" ht="12.75" customHeight="1" x14ac:dyDescent="0.2">
      <c r="A4" s="83" t="s">
        <v>104</v>
      </c>
      <c r="C4" s="138" t="s">
        <v>96</v>
      </c>
      <c r="D4" s="139"/>
      <c r="E4" s="6"/>
      <c r="F4" s="6"/>
      <c r="G4" s="6"/>
      <c r="H4" s="6"/>
      <c r="I4" s="6"/>
      <c r="J4" s="90" t="s">
        <v>62</v>
      </c>
      <c r="K4" s="91"/>
      <c r="L4" s="6"/>
    </row>
    <row r="5" spans="1:12" ht="12.75" customHeight="1" x14ac:dyDescent="0.2">
      <c r="A5" s="83" t="s">
        <v>105</v>
      </c>
      <c r="C5" s="138" t="s">
        <v>162</v>
      </c>
      <c r="D5" s="139"/>
      <c r="E5" s="6"/>
      <c r="F5" s="6"/>
      <c r="G5" s="6"/>
      <c r="H5" s="6"/>
      <c r="I5" s="6"/>
      <c r="J5" s="92" t="s">
        <v>63</v>
      </c>
      <c r="K5" s="93"/>
      <c r="L5" s="6"/>
    </row>
    <row r="6" spans="1:12" ht="12.75" customHeight="1" thickBot="1" x14ac:dyDescent="0.25">
      <c r="A6" s="83" t="s">
        <v>114</v>
      </c>
      <c r="C6" s="140" t="s">
        <v>130</v>
      </c>
      <c r="D6" s="139"/>
      <c r="J6" s="35" t="s">
        <v>64</v>
      </c>
      <c r="K6" s="36"/>
    </row>
    <row r="7" spans="1:12" ht="12.75" customHeight="1" x14ac:dyDescent="0.2">
      <c r="A7" s="89" t="s">
        <v>5</v>
      </c>
      <c r="C7" s="138" t="s">
        <v>80</v>
      </c>
      <c r="D7" s="139"/>
      <c r="G7" s="113" t="s">
        <v>135</v>
      </c>
      <c r="H7" s="114">
        <f>IF(class="Core(16)",5,IF(class="Special(20)",3,4))</f>
        <v>5</v>
      </c>
    </row>
    <row r="8" spans="1:12" ht="12.75" customHeight="1" thickBot="1" x14ac:dyDescent="0.25">
      <c r="A8" s="119" t="s">
        <v>181</v>
      </c>
      <c r="B8" s="24"/>
      <c r="C8" s="134" t="s">
        <v>75</v>
      </c>
      <c r="D8" s="135"/>
      <c r="F8" s="115"/>
      <c r="G8" s="117" t="s">
        <v>134</v>
      </c>
      <c r="H8" s="118" t="str">
        <f>H7 &amp; IF(VLOOKUP(C6,Curves!$C$235:$D$253,2,FALSE)&lt;10, 0,) &amp; VLOOKUP(C6,Curves!$C$235:$D$253,2,FALSE)</f>
        <v>515</v>
      </c>
      <c r="I8" s="24"/>
      <c r="J8" s="24"/>
      <c r="K8" s="24"/>
      <c r="L8" s="24"/>
    </row>
    <row r="9" spans="1:12" ht="18" customHeight="1" x14ac:dyDescent="0.2">
      <c r="A9" s="119"/>
      <c r="B9" s="24"/>
      <c r="C9" s="132" t="s">
        <v>185</v>
      </c>
      <c r="D9" s="115"/>
      <c r="E9" s="115"/>
      <c r="F9" s="24"/>
      <c r="G9" s="115"/>
      <c r="H9" s="115"/>
      <c r="I9" s="115"/>
      <c r="J9" s="115"/>
      <c r="K9" s="24"/>
      <c r="L9" s="24"/>
    </row>
    <row r="10" spans="1:12" ht="12.75" customHeight="1" x14ac:dyDescent="0.2">
      <c r="A10" s="115"/>
      <c r="B10" s="115" t="s">
        <v>30</v>
      </c>
      <c r="C10" s="24">
        <f>VLOOKUP($C$3,Curves!$C$215:$D$217,2,FALSE)</f>
        <v>51</v>
      </c>
      <c r="D10" s="24">
        <f>VLOOKUP($C$5,Curves!$C$220:$D$225,2,FALSE)</f>
        <v>26</v>
      </c>
      <c r="E10" s="24">
        <v>41</v>
      </c>
      <c r="F10" s="24">
        <f>IF($C$8="Yes",272,VLOOKUP($C$7,Curves!$C$256:$D$263,2,FALSE))</f>
        <v>72</v>
      </c>
      <c r="G10" s="24">
        <f>VLOOKUP($C$7,Curves!$C$286:$D$293,2,FALSE)</f>
        <v>82</v>
      </c>
      <c r="H10" s="116" t="str">
        <f>IF(C4="Char(12)",7,IF(VLOOKUP(C6,Curves!$C$235:$D$253,2,FALSE)=0,VLOOKUP(class,Curves!$C$228:$D$233,2,FALSE),H8))</f>
        <v>515</v>
      </c>
      <c r="I10" s="24">
        <f>IF($C$8="Yes",262,VLOOKUP($C$7,Curves!$C$266:$D$273,2,FALSE))</f>
        <v>62</v>
      </c>
      <c r="J10" s="24">
        <f>VLOOKUP($C$7,Curves!$C$276:$D$283,2,FALSE)</f>
        <v>92</v>
      </c>
      <c r="K10" s="24"/>
      <c r="L10" s="24"/>
    </row>
    <row r="11" spans="1:12" ht="12.75" customHeight="1" x14ac:dyDescent="0.2">
      <c r="A11" s="115"/>
      <c r="B11" s="115" t="s">
        <v>29</v>
      </c>
      <c r="C11" s="49">
        <f>C10</f>
        <v>51</v>
      </c>
      <c r="D11" s="49">
        <f t="shared" ref="D11:J11" si="0">D10</f>
        <v>26</v>
      </c>
      <c r="E11" s="49">
        <f t="shared" si="0"/>
        <v>41</v>
      </c>
      <c r="F11" s="49">
        <f t="shared" si="0"/>
        <v>72</v>
      </c>
      <c r="G11" s="49">
        <f t="shared" si="0"/>
        <v>82</v>
      </c>
      <c r="H11" s="49" t="str">
        <f t="shared" si="0"/>
        <v>515</v>
      </c>
      <c r="I11" s="49">
        <f>I10</f>
        <v>62</v>
      </c>
      <c r="J11" s="49">
        <f t="shared" si="0"/>
        <v>92</v>
      </c>
      <c r="K11" s="24"/>
      <c r="L11" s="24"/>
    </row>
    <row r="12" spans="1:12" ht="12.75" customHeight="1" x14ac:dyDescent="0.2">
      <c r="A12" s="120"/>
      <c r="B12" s="24"/>
      <c r="C12" s="121" t="s">
        <v>27</v>
      </c>
      <c r="D12" s="121" t="s">
        <v>0</v>
      </c>
      <c r="E12" s="121" t="s">
        <v>1</v>
      </c>
      <c r="F12" s="121" t="s">
        <v>31</v>
      </c>
      <c r="G12" s="121" t="s">
        <v>32</v>
      </c>
      <c r="H12" s="121" t="s">
        <v>19</v>
      </c>
      <c r="I12" s="121" t="s">
        <v>33</v>
      </c>
      <c r="J12" s="121" t="s">
        <v>2</v>
      </c>
      <c r="K12" s="122" t="s">
        <v>41</v>
      </c>
      <c r="L12" s="24"/>
    </row>
    <row r="13" spans="1:12" ht="12.75" customHeight="1" thickBot="1" x14ac:dyDescent="0.25">
      <c r="A13" s="24"/>
      <c r="B13" s="121" t="s">
        <v>39</v>
      </c>
      <c r="C13" s="121" t="s">
        <v>34</v>
      </c>
      <c r="D13" s="121" t="s">
        <v>35</v>
      </c>
      <c r="E13" s="121" t="s">
        <v>36</v>
      </c>
      <c r="F13" s="121" t="s">
        <v>35</v>
      </c>
      <c r="G13" s="121" t="s">
        <v>35</v>
      </c>
      <c r="H13" s="121" t="s">
        <v>37</v>
      </c>
      <c r="I13" s="121" t="s">
        <v>35</v>
      </c>
      <c r="J13" s="121" t="s">
        <v>38</v>
      </c>
      <c r="K13" s="122" t="s">
        <v>42</v>
      </c>
      <c r="L13" s="24"/>
    </row>
    <row r="14" spans="1:12" ht="13.5" customHeight="1" thickBot="1" x14ac:dyDescent="0.25">
      <c r="A14" s="123"/>
      <c r="B14" s="129">
        <v>40106</v>
      </c>
      <c r="C14" s="10">
        <v>280</v>
      </c>
      <c r="D14" s="10">
        <v>11</v>
      </c>
      <c r="E14" s="10">
        <v>7.63</v>
      </c>
      <c r="F14" s="10">
        <v>2.69E-2</v>
      </c>
      <c r="G14" s="10">
        <v>3.29</v>
      </c>
      <c r="H14" s="10">
        <v>9.9</v>
      </c>
      <c r="I14" s="10">
        <v>0.89900000000000002</v>
      </c>
      <c r="J14" s="10">
        <v>2.29</v>
      </c>
      <c r="K14" s="25">
        <f>'Interim Results'!O14</f>
        <v>79.010530075343112</v>
      </c>
      <c r="L14" s="24"/>
    </row>
    <row r="15" spans="1:12" ht="13.5" customHeight="1" thickBot="1" x14ac:dyDescent="0.25">
      <c r="A15" s="123"/>
      <c r="B15" s="129">
        <v>40134</v>
      </c>
      <c r="C15" s="10">
        <v>190</v>
      </c>
      <c r="D15" s="10">
        <v>11.7</v>
      </c>
      <c r="E15" s="10">
        <v>7.6</v>
      </c>
      <c r="F15" s="10">
        <v>1.9E-2</v>
      </c>
      <c r="G15" s="10">
        <v>1.64</v>
      </c>
      <c r="H15" s="10">
        <v>8.1999999999999993</v>
      </c>
      <c r="I15" s="10">
        <v>0.58399999999999996</v>
      </c>
      <c r="J15" s="10">
        <v>1.2</v>
      </c>
      <c r="K15" s="25">
        <f>'Interim Results'!O15</f>
        <v>86.842341053474627</v>
      </c>
      <c r="L15" s="24"/>
    </row>
    <row r="16" spans="1:12" ht="13.5" customHeight="1" thickBot="1" x14ac:dyDescent="0.25">
      <c r="A16" s="123"/>
      <c r="B16" s="129">
        <v>40162</v>
      </c>
      <c r="C16" s="10">
        <v>340</v>
      </c>
      <c r="D16" s="10">
        <v>12.4</v>
      </c>
      <c r="E16" s="10">
        <v>7.33</v>
      </c>
      <c r="F16" s="10">
        <v>5.3499999999999999E-2</v>
      </c>
      <c r="G16" s="10">
        <v>19.2</v>
      </c>
      <c r="H16" s="10">
        <v>6</v>
      </c>
      <c r="I16" s="10">
        <v>1.62</v>
      </c>
      <c r="J16" s="10">
        <v>14.8</v>
      </c>
      <c r="K16" s="25">
        <f>'Interim Results'!O16</f>
        <v>70.747697348514293</v>
      </c>
      <c r="L16" s="24"/>
    </row>
    <row r="17" spans="1:12" ht="13.5" customHeight="1" thickBot="1" x14ac:dyDescent="0.25">
      <c r="A17" s="123"/>
      <c r="B17" s="129">
        <v>40204</v>
      </c>
      <c r="C17" s="10">
        <v>340</v>
      </c>
      <c r="D17" s="10">
        <v>12</v>
      </c>
      <c r="E17" s="10">
        <v>7.53</v>
      </c>
      <c r="F17" s="10">
        <v>2.1299999999999999E-2</v>
      </c>
      <c r="G17" s="10">
        <v>1.2</v>
      </c>
      <c r="H17" s="10">
        <v>6.1</v>
      </c>
      <c r="I17" s="10">
        <v>1.4</v>
      </c>
      <c r="J17" s="10">
        <v>2.2999999999999998</v>
      </c>
      <c r="K17" s="25">
        <f>'Interim Results'!O17</f>
        <v>82.24044997260529</v>
      </c>
      <c r="L17" s="24"/>
    </row>
    <row r="18" spans="1:12" ht="13.5" customHeight="1" thickBot="1" x14ac:dyDescent="0.25">
      <c r="A18" s="123"/>
      <c r="B18" s="129">
        <v>40232</v>
      </c>
      <c r="C18" s="10">
        <v>45</v>
      </c>
      <c r="D18" s="10">
        <v>13.1</v>
      </c>
      <c r="E18" s="10">
        <v>7.7</v>
      </c>
      <c r="F18" s="10">
        <v>1.67E-2</v>
      </c>
      <c r="G18" s="10">
        <v>0.8</v>
      </c>
      <c r="H18" s="10">
        <v>3.7</v>
      </c>
      <c r="I18" s="10">
        <v>0.77700000000000002</v>
      </c>
      <c r="J18" s="10">
        <v>1.95</v>
      </c>
      <c r="K18" s="25">
        <f>'Interim Results'!O18</f>
        <v>96.852960907988958</v>
      </c>
      <c r="L18" s="24"/>
    </row>
    <row r="19" spans="1:12" ht="13.5" customHeight="1" thickBot="1" x14ac:dyDescent="0.25">
      <c r="A19" s="123"/>
      <c r="B19" s="129">
        <v>40253</v>
      </c>
      <c r="C19" s="10">
        <v>29.5</v>
      </c>
      <c r="D19" s="10">
        <v>12.8</v>
      </c>
      <c r="E19" s="10">
        <v>7.55</v>
      </c>
      <c r="F19" s="10">
        <v>2.785E-2</v>
      </c>
      <c r="G19" s="10">
        <v>2</v>
      </c>
      <c r="H19" s="10">
        <v>5.0999999999999996</v>
      </c>
      <c r="I19" s="10">
        <v>0.91100000000000003</v>
      </c>
      <c r="J19" s="151">
        <v>3.65</v>
      </c>
      <c r="K19" s="25">
        <f>'Interim Results'!O19</f>
        <v>96.132621915010176</v>
      </c>
      <c r="L19" s="24"/>
    </row>
    <row r="20" spans="1:12" ht="13.5" customHeight="1" thickBot="1" x14ac:dyDescent="0.25">
      <c r="A20" s="123"/>
      <c r="B20" s="129">
        <v>40288</v>
      </c>
      <c r="C20" s="10">
        <v>94</v>
      </c>
      <c r="D20" s="10">
        <v>11.9</v>
      </c>
      <c r="E20" s="10">
        <v>7.46</v>
      </c>
      <c r="F20" s="10">
        <v>3.7600000000000001E-2</v>
      </c>
      <c r="G20" s="10">
        <v>7.8</v>
      </c>
      <c r="H20" s="10">
        <v>7.4</v>
      </c>
      <c r="I20" s="10">
        <v>0.77900000000000003</v>
      </c>
      <c r="J20" s="10">
        <v>5.08</v>
      </c>
      <c r="K20" s="25">
        <f>'Interim Results'!O20</f>
        <v>92.016093172503318</v>
      </c>
      <c r="L20" s="24"/>
    </row>
    <row r="21" spans="1:12" ht="13.5" customHeight="1" thickBot="1" x14ac:dyDescent="0.25">
      <c r="A21" s="123"/>
      <c r="B21" s="129">
        <v>40316</v>
      </c>
      <c r="C21" s="10">
        <v>420</v>
      </c>
      <c r="D21" s="10">
        <v>10.8</v>
      </c>
      <c r="E21" s="10">
        <v>7.77</v>
      </c>
      <c r="F21" s="10">
        <v>2.1600000000000001E-2</v>
      </c>
      <c r="G21" s="10">
        <v>3.8</v>
      </c>
      <c r="H21" s="10">
        <v>10.9</v>
      </c>
      <c r="I21" s="10">
        <v>0.33900000000000002</v>
      </c>
      <c r="J21" s="10">
        <v>1.37</v>
      </c>
      <c r="K21" s="25">
        <f>'Interim Results'!O21</f>
        <v>76.439044670943744</v>
      </c>
      <c r="L21" s="24"/>
    </row>
    <row r="22" spans="1:12" ht="13.5" customHeight="1" thickBot="1" x14ac:dyDescent="0.25">
      <c r="A22" s="123"/>
      <c r="B22" s="129">
        <v>40351</v>
      </c>
      <c r="C22" s="10">
        <v>60</v>
      </c>
      <c r="D22" s="10">
        <v>9.9</v>
      </c>
      <c r="E22" s="10">
        <v>7.74</v>
      </c>
      <c r="F22" s="10">
        <v>2.0400000000000001E-2</v>
      </c>
      <c r="G22" s="10">
        <v>2.7</v>
      </c>
      <c r="H22" s="10">
        <v>15.2</v>
      </c>
      <c r="I22" s="10">
        <v>0.32</v>
      </c>
      <c r="J22" s="10">
        <v>1.66</v>
      </c>
      <c r="K22" s="25">
        <f>'Interim Results'!O22</f>
        <v>79.128473120563797</v>
      </c>
      <c r="L22" s="24"/>
    </row>
    <row r="23" spans="1:12" ht="13.5" customHeight="1" thickBot="1" x14ac:dyDescent="0.25">
      <c r="A23" s="123"/>
      <c r="B23" s="129">
        <v>40386</v>
      </c>
      <c r="C23" s="10">
        <v>620</v>
      </c>
      <c r="D23" s="10">
        <v>10.1</v>
      </c>
      <c r="E23" s="10">
        <v>7.71</v>
      </c>
      <c r="F23" s="10">
        <v>3.2000000000000001E-2</v>
      </c>
      <c r="G23" s="10">
        <v>2.14</v>
      </c>
      <c r="H23" s="10">
        <v>14.8</v>
      </c>
      <c r="I23" s="10">
        <v>0.32500000000000001</v>
      </c>
      <c r="J23" s="10">
        <v>1.1100000000000001</v>
      </c>
      <c r="K23" s="25">
        <f>'Interim Results'!O23</f>
        <v>64.711609277864994</v>
      </c>
      <c r="L23" s="24"/>
    </row>
    <row r="24" spans="1:12" ht="13.5" customHeight="1" thickBot="1" x14ac:dyDescent="0.25">
      <c r="A24" s="123"/>
      <c r="B24" s="129">
        <v>40414</v>
      </c>
      <c r="C24" s="10">
        <v>350</v>
      </c>
      <c r="D24" s="10">
        <v>10.3</v>
      </c>
      <c r="E24" s="10">
        <v>8.15</v>
      </c>
      <c r="F24" s="10">
        <v>2.7900000000000001E-2</v>
      </c>
      <c r="G24" s="10">
        <v>2.04</v>
      </c>
      <c r="H24" s="10">
        <v>17.3</v>
      </c>
      <c r="I24" s="10">
        <v>0.26300000000000001</v>
      </c>
      <c r="J24" s="10">
        <v>1.5</v>
      </c>
      <c r="K24" s="25">
        <f>'Interim Results'!O24</f>
        <v>68.809386023619822</v>
      </c>
      <c r="L24" s="24"/>
    </row>
    <row r="25" spans="1:12" ht="13.5" customHeight="1" thickBot="1" x14ac:dyDescent="0.25">
      <c r="A25" s="123"/>
      <c r="B25" s="129">
        <v>40449</v>
      </c>
      <c r="C25" s="10">
        <v>300</v>
      </c>
      <c r="D25" s="10">
        <v>10</v>
      </c>
      <c r="E25" s="10">
        <v>7.78</v>
      </c>
      <c r="F25" s="10">
        <v>0.17199999999999999</v>
      </c>
      <c r="G25" s="10">
        <v>7.2</v>
      </c>
      <c r="H25" s="10">
        <v>14.2</v>
      </c>
      <c r="I25" s="10">
        <v>1.04</v>
      </c>
      <c r="J25" s="10">
        <v>104</v>
      </c>
      <c r="K25" s="25">
        <f>'Interim Results'!O25</f>
        <v>7.1643270217964812</v>
      </c>
      <c r="L25" s="24"/>
    </row>
    <row r="26" spans="1:12" ht="12.75" customHeight="1" thickBot="1" x14ac:dyDescent="0.25">
      <c r="A26" s="115"/>
      <c r="B26" s="121" t="s">
        <v>40</v>
      </c>
      <c r="C26" s="25">
        <v>61</v>
      </c>
      <c r="D26" s="25">
        <v>84</v>
      </c>
      <c r="E26" s="25">
        <v>89</v>
      </c>
      <c r="F26" s="25">
        <v>57</v>
      </c>
      <c r="G26" s="25">
        <v>89</v>
      </c>
      <c r="H26" s="25">
        <v>70</v>
      </c>
      <c r="I26" s="25">
        <v>2</v>
      </c>
      <c r="J26" s="25">
        <v>68</v>
      </c>
      <c r="K26" s="115"/>
      <c r="L26" s="24"/>
    </row>
    <row r="27" spans="1:12" ht="16.5" thickBot="1" x14ac:dyDescent="0.3">
      <c r="A27" s="24"/>
      <c r="B27" s="24"/>
      <c r="C27" s="24"/>
      <c r="D27" s="24"/>
      <c r="E27" s="24"/>
      <c r="F27" s="24"/>
      <c r="G27" s="24"/>
      <c r="H27" s="24"/>
      <c r="I27" s="124"/>
      <c r="J27" s="125" t="s">
        <v>43</v>
      </c>
      <c r="K27" s="34">
        <v>47</v>
      </c>
      <c r="L27" s="24"/>
    </row>
    <row r="28" spans="1:12" x14ac:dyDescent="0.2">
      <c r="A28" s="24"/>
      <c r="B28" s="24"/>
      <c r="C28" s="24"/>
      <c r="D28" s="24"/>
      <c r="E28" s="24"/>
      <c r="F28" s="24"/>
      <c r="G28" s="24"/>
      <c r="H28" s="24"/>
      <c r="I28" s="24"/>
      <c r="J28" s="24"/>
      <c r="K28" s="24"/>
      <c r="L28" s="24"/>
    </row>
    <row r="29" spans="1:12" x14ac:dyDescent="0.2">
      <c r="A29" s="24"/>
      <c r="B29" s="24"/>
      <c r="C29" s="24"/>
      <c r="D29" s="24"/>
      <c r="E29" s="24"/>
      <c r="F29" s="24"/>
      <c r="G29" s="24"/>
      <c r="H29" s="24"/>
      <c r="I29" s="24"/>
      <c r="J29" s="24"/>
      <c r="K29" s="24"/>
      <c r="L29" s="24"/>
    </row>
    <row r="30" spans="1:12" x14ac:dyDescent="0.2">
      <c r="A30" s="24"/>
      <c r="B30" s="24"/>
      <c r="C30" s="24"/>
      <c r="D30" s="24"/>
      <c r="E30" s="24"/>
      <c r="F30" s="24"/>
      <c r="G30" s="24"/>
      <c r="H30" s="24"/>
      <c r="I30" s="24"/>
      <c r="J30" s="24"/>
      <c r="K30" s="24"/>
      <c r="L30" s="24"/>
    </row>
    <row r="31" spans="1:12" x14ac:dyDescent="0.2">
      <c r="A31" s="24"/>
      <c r="B31" s="24"/>
      <c r="C31" s="24"/>
      <c r="D31" s="24"/>
      <c r="E31" s="24"/>
      <c r="F31" s="24"/>
      <c r="G31" s="24"/>
      <c r="H31" s="24"/>
      <c r="I31" s="24"/>
      <c r="J31" s="24"/>
      <c r="K31" s="24"/>
      <c r="L31" s="24"/>
    </row>
    <row r="32" spans="1:12" x14ac:dyDescent="0.2">
      <c r="A32" s="24"/>
      <c r="B32" s="24"/>
      <c r="C32" s="24"/>
      <c r="D32" s="24"/>
      <c r="E32" s="24"/>
      <c r="F32" s="24"/>
      <c r="G32" s="24"/>
      <c r="H32" s="24"/>
      <c r="I32" s="24"/>
      <c r="J32" s="24"/>
      <c r="K32" s="24"/>
      <c r="L32" s="24"/>
    </row>
    <row r="33" spans="1:12" x14ac:dyDescent="0.2">
      <c r="A33" s="24"/>
      <c r="B33" s="24"/>
      <c r="C33" s="24"/>
      <c r="D33" s="24"/>
      <c r="E33" s="24"/>
      <c r="F33" s="24"/>
      <c r="G33" s="24"/>
      <c r="H33" s="24"/>
      <c r="I33" s="24"/>
      <c r="J33" s="24"/>
      <c r="K33" s="24"/>
      <c r="L33" s="24"/>
    </row>
    <row r="34" spans="1:12" x14ac:dyDescent="0.2">
      <c r="A34" s="24"/>
      <c r="B34" s="24"/>
      <c r="C34" s="24"/>
      <c r="D34" s="24"/>
      <c r="E34" s="24"/>
      <c r="F34" s="24"/>
      <c r="G34" s="24"/>
      <c r="H34" s="24"/>
      <c r="I34" s="24"/>
      <c r="J34" s="24"/>
      <c r="K34" s="24"/>
      <c r="L34" s="24"/>
    </row>
    <row r="35" spans="1:12" x14ac:dyDescent="0.2">
      <c r="A35" s="24"/>
      <c r="B35" s="24"/>
      <c r="C35" s="24"/>
      <c r="D35" s="24"/>
      <c r="E35" s="24"/>
      <c r="F35" s="24"/>
      <c r="G35" s="24"/>
      <c r="H35" s="24"/>
      <c r="I35" s="24"/>
      <c r="J35" s="24"/>
      <c r="K35" s="24"/>
      <c r="L35" s="24"/>
    </row>
    <row r="36" spans="1:12" x14ac:dyDescent="0.2">
      <c r="A36" s="24"/>
      <c r="B36" s="24"/>
      <c r="C36" s="24"/>
      <c r="D36" s="24"/>
      <c r="E36" s="24"/>
      <c r="F36" s="24"/>
      <c r="G36" s="24"/>
      <c r="H36" s="24"/>
      <c r="I36" s="24"/>
      <c r="J36" s="24"/>
      <c r="K36" s="24"/>
      <c r="L36" s="24"/>
    </row>
    <row r="37" spans="1:12" x14ac:dyDescent="0.2">
      <c r="A37" s="24"/>
      <c r="B37" s="24"/>
      <c r="C37" s="24"/>
      <c r="D37" s="24"/>
      <c r="E37" s="24"/>
      <c r="F37" s="24"/>
      <c r="G37" s="24"/>
      <c r="H37" s="24"/>
      <c r="I37" s="24"/>
      <c r="J37" s="24"/>
      <c r="K37" s="24"/>
      <c r="L37" s="24"/>
    </row>
    <row r="38" spans="1:12" x14ac:dyDescent="0.2">
      <c r="A38" s="24"/>
      <c r="B38" s="24"/>
      <c r="C38" s="24"/>
      <c r="D38" s="24"/>
      <c r="E38" s="24"/>
      <c r="F38" s="24"/>
      <c r="G38" s="24"/>
      <c r="H38" s="24"/>
      <c r="I38" s="24"/>
      <c r="J38" s="24"/>
      <c r="K38" s="24"/>
      <c r="L38" s="24"/>
    </row>
    <row r="39" spans="1:12" x14ac:dyDescent="0.2">
      <c r="A39" s="24"/>
      <c r="B39" s="24"/>
      <c r="C39" s="24"/>
      <c r="D39" s="24"/>
      <c r="E39" s="24"/>
      <c r="F39" s="24"/>
      <c r="G39" s="24"/>
      <c r="H39" s="24"/>
      <c r="I39" s="24"/>
      <c r="J39" s="24"/>
      <c r="K39" s="24"/>
      <c r="L39" s="24"/>
    </row>
    <row r="40" spans="1:12" x14ac:dyDescent="0.2">
      <c r="A40" s="24"/>
      <c r="B40" s="24"/>
      <c r="C40" s="24"/>
      <c r="D40" s="24"/>
      <c r="E40" s="24"/>
      <c r="F40" s="24"/>
      <c r="G40" s="24"/>
      <c r="H40" s="24"/>
      <c r="I40" s="24"/>
      <c r="J40" s="24"/>
      <c r="K40" s="24"/>
      <c r="L40" s="24"/>
    </row>
    <row r="41" spans="1:12" x14ac:dyDescent="0.2">
      <c r="A41" s="24"/>
      <c r="B41" s="24"/>
      <c r="C41" s="24"/>
      <c r="D41" s="24"/>
      <c r="E41" s="24"/>
      <c r="F41" s="24"/>
      <c r="G41" s="24"/>
      <c r="H41" s="24"/>
      <c r="I41" s="24"/>
      <c r="J41" s="24"/>
      <c r="K41" s="24"/>
      <c r="L41" s="24"/>
    </row>
    <row r="42" spans="1:12" x14ac:dyDescent="0.2">
      <c r="A42" s="24"/>
      <c r="B42" s="24"/>
      <c r="C42" s="24"/>
      <c r="D42" s="24"/>
      <c r="E42" s="24"/>
      <c r="F42" s="24"/>
      <c r="G42" s="24"/>
      <c r="H42" s="24"/>
      <c r="I42" s="24"/>
      <c r="J42" s="24"/>
      <c r="K42" s="24"/>
      <c r="L42" s="24"/>
    </row>
    <row r="43" spans="1:12" x14ac:dyDescent="0.2">
      <c r="A43" s="24"/>
      <c r="B43" s="24"/>
      <c r="C43" s="24"/>
      <c r="D43" s="24"/>
      <c r="E43" s="24"/>
      <c r="F43" s="24"/>
      <c r="G43" s="24"/>
      <c r="H43" s="24"/>
      <c r="I43" s="24"/>
      <c r="J43" s="24"/>
      <c r="K43" s="24"/>
      <c r="L43" s="24"/>
    </row>
    <row r="44" spans="1:12" x14ac:dyDescent="0.2">
      <c r="A44" s="24"/>
      <c r="B44" s="24"/>
      <c r="C44" s="24"/>
      <c r="D44" s="24"/>
      <c r="E44" s="24"/>
      <c r="F44" s="24"/>
      <c r="G44" s="24"/>
      <c r="H44" s="24"/>
      <c r="I44" s="24"/>
      <c r="J44" s="24"/>
      <c r="K44" s="24"/>
      <c r="L44" s="24"/>
    </row>
    <row r="45" spans="1:12" x14ac:dyDescent="0.2">
      <c r="A45" s="24"/>
      <c r="B45" s="24"/>
      <c r="C45" s="24"/>
      <c r="D45" s="24"/>
      <c r="E45" s="24"/>
      <c r="F45" s="24"/>
      <c r="G45" s="24"/>
      <c r="H45" s="24"/>
      <c r="I45" s="24"/>
      <c r="J45" s="24"/>
      <c r="K45" s="24"/>
      <c r="L45" s="24"/>
    </row>
    <row r="46" spans="1:12" x14ac:dyDescent="0.2">
      <c r="A46" s="24"/>
      <c r="B46" s="24"/>
      <c r="C46" s="24"/>
      <c r="D46" s="24"/>
      <c r="E46" s="24"/>
      <c r="F46" s="24"/>
      <c r="G46" s="24"/>
      <c r="H46" s="24"/>
      <c r="I46" s="24"/>
      <c r="J46" s="24"/>
      <c r="K46" s="24"/>
      <c r="L46" s="24"/>
    </row>
    <row r="47" spans="1:12" x14ac:dyDescent="0.2">
      <c r="A47" s="24"/>
      <c r="B47" s="24"/>
      <c r="C47" s="24"/>
      <c r="D47" s="24"/>
      <c r="E47" s="24"/>
      <c r="F47" s="24"/>
      <c r="G47" s="24"/>
      <c r="H47" s="24"/>
      <c r="I47" s="24"/>
      <c r="J47" s="24"/>
      <c r="K47" s="24"/>
      <c r="L47" s="24"/>
    </row>
  </sheetData>
  <sheetProtection sheet="1" selectLockedCells="1"/>
  <mergeCells count="7">
    <mergeCell ref="C8:D8"/>
    <mergeCell ref="C2:D2"/>
    <mergeCell ref="C3:D3"/>
    <mergeCell ref="C4:D4"/>
    <mergeCell ref="C6:D6"/>
    <mergeCell ref="C7:D7"/>
    <mergeCell ref="C5:D5"/>
  </mergeCells>
  <phoneticPr fontId="0" type="noConversion"/>
  <conditionalFormatting sqref="K4:K6">
    <cfRule type="cellIs" dxfId="28" priority="38" stopIfTrue="1" operator="equal">
      <formula>"High Concern"</formula>
    </cfRule>
    <cfRule type="cellIs" dxfId="27" priority="39" stopIfTrue="1" operator="equal">
      <formula>"Moderate Concern"</formula>
    </cfRule>
    <cfRule type="cellIs" dxfId="26" priority="40" stopIfTrue="1" operator="equal">
      <formula>"Low Concern"</formula>
    </cfRule>
  </conditionalFormatting>
  <conditionalFormatting sqref="K27">
    <cfRule type="cellIs" dxfId="25" priority="41" stopIfTrue="1" operator="lessThan">
      <formula>40</formula>
    </cfRule>
    <cfRule type="cellIs" dxfId="24" priority="42" stopIfTrue="1" operator="greaterThanOrEqual">
      <formula>80</formula>
    </cfRule>
    <cfRule type="cellIs" dxfId="23" priority="43" stopIfTrue="1" operator="between">
      <formula>40</formula>
      <formula>80</formula>
    </cfRule>
  </conditionalFormatting>
  <conditionalFormatting sqref="C26:J26 K14:K25">
    <cfRule type="cellIs" dxfId="22" priority="44" stopIfTrue="1" operator="between">
      <formula>0.1</formula>
      <formula>39.999</formula>
    </cfRule>
    <cfRule type="cellIs" dxfId="21" priority="45" stopIfTrue="1" operator="greaterThanOrEqual">
      <formula>80</formula>
    </cfRule>
    <cfRule type="cellIs" dxfId="20" priority="46" stopIfTrue="1" operator="between">
      <formula>40</formula>
      <formula>80</formula>
    </cfRule>
  </conditionalFormatting>
  <conditionalFormatting sqref="C11">
    <cfRule type="cellIs" dxfId="19" priority="33" stopIfTrue="1" operator="notEqual">
      <formula>$C$10</formula>
    </cfRule>
    <cfRule type="cellIs" dxfId="18" priority="34" stopIfTrue="1" operator="equal">
      <formula>$C$10</formula>
    </cfRule>
  </conditionalFormatting>
  <conditionalFormatting sqref="E11">
    <cfRule type="cellIs" dxfId="17" priority="31" stopIfTrue="1" operator="notEqual">
      <formula>$E$10</formula>
    </cfRule>
    <cfRule type="cellIs" dxfId="16" priority="32" stopIfTrue="1" operator="equal">
      <formula>$E$10</formula>
    </cfRule>
  </conditionalFormatting>
  <conditionalFormatting sqref="D11">
    <cfRule type="cellIs" dxfId="15" priority="29" stopIfTrue="1" operator="notEqual">
      <formula>$D$10</formula>
    </cfRule>
    <cfRule type="cellIs" dxfId="14" priority="30" stopIfTrue="1" operator="equal">
      <formula>$D$10</formula>
    </cfRule>
  </conditionalFormatting>
  <conditionalFormatting sqref="F11">
    <cfRule type="cellIs" dxfId="13" priority="25" stopIfTrue="1" operator="notEqual">
      <formula>$F$10</formula>
    </cfRule>
    <cfRule type="cellIs" dxfId="12" priority="26" stopIfTrue="1" operator="equal">
      <formula>$F$10</formula>
    </cfRule>
  </conditionalFormatting>
  <conditionalFormatting sqref="G11">
    <cfRule type="cellIs" dxfId="11" priority="21" stopIfTrue="1" operator="notEqual">
      <formula>$G$10</formula>
    </cfRule>
    <cfRule type="cellIs" dxfId="10" priority="22" stopIfTrue="1" operator="equal">
      <formula>$G$10</formula>
    </cfRule>
  </conditionalFormatting>
  <conditionalFormatting sqref="H11">
    <cfRule type="cellIs" dxfId="9" priority="17" stopIfTrue="1" operator="notEqual">
      <formula>$H$10</formula>
    </cfRule>
    <cfRule type="cellIs" dxfId="8" priority="18" stopIfTrue="1" operator="equal">
      <formula>$H$10</formula>
    </cfRule>
  </conditionalFormatting>
  <conditionalFormatting sqref="I11">
    <cfRule type="cellIs" dxfId="7" priority="13" stopIfTrue="1" operator="notEqual">
      <formula>$I$10</formula>
    </cfRule>
    <cfRule type="cellIs" dxfId="6" priority="14" stopIfTrue="1" operator="equal">
      <formula>$I$10</formula>
    </cfRule>
  </conditionalFormatting>
  <conditionalFormatting sqref="J11">
    <cfRule type="cellIs" dxfId="5" priority="9" stopIfTrue="1" operator="notEqual">
      <formula>$J$10</formula>
    </cfRule>
    <cfRule type="cellIs" dxfId="4" priority="10" stopIfTrue="1" operator="equal">
      <formula>$J$10</formula>
    </cfRule>
  </conditionalFormatting>
  <conditionalFormatting sqref="C9">
    <cfRule type="expression" dxfId="3" priority="3" stopIfTrue="1">
      <formula>$C$8="No"</formula>
    </cfRule>
    <cfRule type="expression" dxfId="2" priority="5" stopIfTrue="1">
      <formula>ecoregion&lt;&gt;"2"</formula>
    </cfRule>
  </conditionalFormatting>
  <conditionalFormatting sqref="I10">
    <cfRule type="expression" dxfId="1" priority="2" stopIfTrue="1">
      <formula>$C$8="yes"</formula>
    </cfRule>
  </conditionalFormatting>
  <conditionalFormatting sqref="F10">
    <cfRule type="expression" dxfId="0" priority="1" stopIfTrue="1">
      <formula>$C$8="yes"</formula>
    </cfRule>
  </conditionalFormatting>
  <dataValidations count="6">
    <dataValidation type="list" allowBlank="1" showInputMessage="1" showErrorMessage="1" sqref="C4" xr:uid="{00000000-0002-0000-0100-000000000000}">
      <formula1>TempWQIClass</formula1>
    </dataValidation>
    <dataValidation type="list" allowBlank="1" showInputMessage="1" showErrorMessage="1" sqref="C5" xr:uid="{00000000-0002-0000-0100-000001000000}">
      <formula1>OxygenWQIClass</formula1>
    </dataValidation>
    <dataValidation type="list" allowBlank="1" showInputMessage="1" showErrorMessage="1" sqref="C7" xr:uid="{00000000-0002-0000-0100-000002000000}">
      <formula1>Ecoregion_List</formula1>
    </dataValidation>
    <dataValidation type="list" allowBlank="1" showErrorMessage="1" sqref="C3" xr:uid="{00000000-0002-0000-0100-000003000000}">
      <formula1>FCWQIClass</formula1>
    </dataValidation>
    <dataValidation type="list" allowBlank="1" showInputMessage="1" showErrorMessage="1" sqref="C6:D6" xr:uid="{00000000-0002-0000-0100-000004000000}">
      <formula1>SupSpawnWQIClass</formula1>
    </dataValidation>
    <dataValidation type="list" allowBlank="1" showInputMessage="1" showErrorMessage="1" sqref="C8:D8" xr:uid="{00000000-0002-0000-0100-000005000000}">
      <formula1>YesNo</formula1>
    </dataValidation>
  </dataValidations>
  <pageMargins left="0.75" right="0.75" top="1" bottom="1" header="0.5" footer="0.5"/>
  <pageSetup scale="89" orientation="portrait" r:id="rId1"/>
  <headerFooter alignWithMargins="0"/>
  <colBreaks count="1" manualBreakCount="1">
    <brk id="10" max="1048575" man="1"/>
  </colBreaks>
  <drawing r:id="rId2"/>
  <legacyDrawing r:id="rId3"/>
  <controls>
    <mc:AlternateContent xmlns:mc="http://schemas.openxmlformats.org/markup-compatibility/2006">
      <mc:Choice Requires="x14">
        <control shapeId="1027" r:id="rId4" name="UpdateCurves">
          <controlPr locked="0" print="0" autoLine="0" r:id="rId5">
            <anchor moveWithCells="1">
              <from>
                <xdr:col>8</xdr:col>
                <xdr:colOff>552450</xdr:colOff>
                <xdr:row>32</xdr:row>
                <xdr:rowOff>38100</xdr:rowOff>
              </from>
              <to>
                <xdr:col>10</xdr:col>
                <xdr:colOff>542925</xdr:colOff>
                <xdr:row>34</xdr:row>
                <xdr:rowOff>152400</xdr:rowOff>
              </to>
            </anchor>
          </controlPr>
        </control>
      </mc:Choice>
      <mc:Fallback>
        <control shapeId="1027" r:id="rId4" name="UpdateCurves"/>
      </mc:Fallback>
    </mc:AlternateContent>
    <mc:AlternateContent xmlns:mc="http://schemas.openxmlformats.org/markup-compatibility/2006">
      <mc:Choice Requires="x14">
        <control shapeId="1028" r:id="rId6" name="CalcScores">
          <controlPr locked="0" autoLine="0" r:id="rId7">
            <anchor moveWithCells="1">
              <from>
                <xdr:col>4</xdr:col>
                <xdr:colOff>352425</xdr:colOff>
                <xdr:row>2</xdr:row>
                <xdr:rowOff>0</xdr:rowOff>
              </from>
              <to>
                <xdr:col>6</xdr:col>
                <xdr:colOff>342900</xdr:colOff>
                <xdr:row>4</xdr:row>
                <xdr:rowOff>114300</xdr:rowOff>
              </to>
            </anchor>
          </controlPr>
        </control>
      </mc:Choice>
      <mc:Fallback>
        <control shapeId="1028" r:id="rId6" name="CalcScores"/>
      </mc:Fallback>
    </mc:AlternateContent>
    <mc:AlternateContent xmlns:mc="http://schemas.openxmlformats.org/markup-compatibility/2006">
      <mc:Choice Requires="x14">
        <control shapeId="1029" r:id="rId8" name="Aggregate">
          <controlPr locked="0" autoLine="0" r:id="rId9">
            <anchor moveWithCells="1">
              <from>
                <xdr:col>6</xdr:col>
                <xdr:colOff>371475</xdr:colOff>
                <xdr:row>2</xdr:row>
                <xdr:rowOff>0</xdr:rowOff>
              </from>
              <to>
                <xdr:col>8</xdr:col>
                <xdr:colOff>361950</xdr:colOff>
                <xdr:row>4</xdr:row>
                <xdr:rowOff>114300</xdr:rowOff>
              </to>
            </anchor>
          </controlPr>
        </control>
      </mc:Choice>
      <mc:Fallback>
        <control shapeId="1029" r:id="rId8" name="Aggreg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06"/>
  <sheetViews>
    <sheetView workbookViewId="0">
      <pane ySplit="1" topLeftCell="A53" activePane="bottomLeft" state="frozenSplit"/>
      <selection pane="bottomLeft" activeCell="J57" sqref="J57"/>
    </sheetView>
  </sheetViews>
  <sheetFormatPr defaultRowHeight="12.75" customHeight="1" x14ac:dyDescent="0.2"/>
  <cols>
    <col min="1" max="1" width="11" customWidth="1"/>
    <col min="3" max="3" width="14.7109375" customWidth="1"/>
    <col min="4" max="4" width="8.140625" customWidth="1"/>
    <col min="5" max="5" width="9.140625" style="99"/>
    <col min="13" max="13" width="73.140625" bestFit="1" customWidth="1"/>
  </cols>
  <sheetData>
    <row r="1" spans="1:13" ht="12.75" customHeight="1" x14ac:dyDescent="0.25">
      <c r="A1" s="126" t="s">
        <v>6</v>
      </c>
      <c r="B1" s="126" t="s">
        <v>7</v>
      </c>
      <c r="C1" s="126" t="s">
        <v>8</v>
      </c>
      <c r="D1" s="126" t="s">
        <v>9</v>
      </c>
      <c r="E1" s="126" t="s">
        <v>10</v>
      </c>
      <c r="F1" s="126" t="s">
        <v>11</v>
      </c>
      <c r="G1" s="126" t="s">
        <v>12</v>
      </c>
      <c r="H1" s="126" t="s">
        <v>13</v>
      </c>
      <c r="I1" s="126" t="s">
        <v>14</v>
      </c>
      <c r="J1" s="126" t="s">
        <v>15</v>
      </c>
      <c r="K1" s="126" t="s">
        <v>16</v>
      </c>
      <c r="L1" s="126" t="s">
        <v>17</v>
      </c>
      <c r="M1" s="126" t="s">
        <v>18</v>
      </c>
    </row>
    <row r="2" spans="1:13" ht="12.75" customHeight="1" x14ac:dyDescent="0.25">
      <c r="A2" s="61">
        <v>51</v>
      </c>
      <c r="B2" s="62" t="s">
        <v>27</v>
      </c>
      <c r="C2" s="62" t="s">
        <v>168</v>
      </c>
      <c r="D2" s="61" t="b">
        <v>0</v>
      </c>
      <c r="E2" s="61">
        <v>100</v>
      </c>
      <c r="F2" s="61">
        <v>1</v>
      </c>
      <c r="G2" s="61">
        <v>13</v>
      </c>
      <c r="H2" s="61">
        <v>0</v>
      </c>
      <c r="I2" s="61">
        <v>999999</v>
      </c>
      <c r="J2" s="61">
        <v>103.59</v>
      </c>
      <c r="K2" s="61">
        <v>0.81005499999999997</v>
      </c>
      <c r="L2" s="61">
        <v>-1.28485</v>
      </c>
      <c r="M2" s="62" t="s">
        <v>28</v>
      </c>
    </row>
    <row r="3" spans="1:13" ht="12.75" customHeight="1" x14ac:dyDescent="0.25">
      <c r="A3" s="61">
        <v>52</v>
      </c>
      <c r="B3" s="62" t="s">
        <v>27</v>
      </c>
      <c r="C3" s="62" t="s">
        <v>169</v>
      </c>
      <c r="D3" s="61" t="b">
        <v>0</v>
      </c>
      <c r="E3" s="61">
        <v>200</v>
      </c>
      <c r="F3" s="61">
        <v>1</v>
      </c>
      <c r="G3" s="61">
        <v>13</v>
      </c>
      <c r="H3" s="61">
        <v>0</v>
      </c>
      <c r="I3" s="61">
        <v>999999</v>
      </c>
      <c r="J3" s="61">
        <v>102.944</v>
      </c>
      <c r="K3" s="61">
        <v>2.5972300000000001</v>
      </c>
      <c r="L3" s="61">
        <v>-1.3061199999999999</v>
      </c>
      <c r="M3" s="62" t="s">
        <v>28</v>
      </c>
    </row>
    <row r="4" spans="1:13" ht="12.75" customHeight="1" x14ac:dyDescent="0.25">
      <c r="A4" s="61">
        <v>53</v>
      </c>
      <c r="B4" s="62" t="s">
        <v>27</v>
      </c>
      <c r="C4" s="62" t="s">
        <v>95</v>
      </c>
      <c r="D4" s="61" t="b">
        <v>0</v>
      </c>
      <c r="E4" s="61">
        <v>50</v>
      </c>
      <c r="F4" s="61">
        <v>1</v>
      </c>
      <c r="G4" s="61">
        <v>13</v>
      </c>
      <c r="H4" s="61">
        <v>0</v>
      </c>
      <c r="I4" s="61">
        <v>999999</v>
      </c>
      <c r="J4" s="61">
        <v>103.05</v>
      </c>
      <c r="K4" s="61">
        <v>-0.58320000000000005</v>
      </c>
      <c r="L4" s="61">
        <v>-1.3564099999999999</v>
      </c>
      <c r="M4" s="62" t="s">
        <v>28</v>
      </c>
    </row>
    <row r="5" spans="1:13" ht="12.75" customHeight="1" x14ac:dyDescent="0.25">
      <c r="A5" s="61">
        <v>21</v>
      </c>
      <c r="B5" s="62" t="s">
        <v>0</v>
      </c>
      <c r="C5" s="62" t="s">
        <v>170</v>
      </c>
      <c r="D5" s="61" t="b">
        <v>0</v>
      </c>
      <c r="E5" s="61">
        <v>8</v>
      </c>
      <c r="F5" s="61">
        <v>1</v>
      </c>
      <c r="G5" s="61">
        <v>13</v>
      </c>
      <c r="H5" s="61">
        <v>0</v>
      </c>
      <c r="I5" s="61">
        <v>12</v>
      </c>
      <c r="J5" s="61">
        <v>-67.025499999999994</v>
      </c>
      <c r="K5" s="61">
        <v>27.5473</v>
      </c>
      <c r="L5" s="61">
        <v>-1.14663</v>
      </c>
      <c r="M5" s="62" t="s">
        <v>78</v>
      </c>
    </row>
    <row r="6" spans="1:13" ht="12.75" customHeight="1" x14ac:dyDescent="0.25">
      <c r="A6" s="61">
        <v>21</v>
      </c>
      <c r="B6" s="62" t="s">
        <v>0</v>
      </c>
      <c r="C6" s="62" t="s">
        <v>170</v>
      </c>
      <c r="D6" s="61" t="b">
        <v>0</v>
      </c>
      <c r="E6" s="61">
        <v>8</v>
      </c>
      <c r="F6" s="61">
        <v>1</v>
      </c>
      <c r="G6" s="61">
        <v>13</v>
      </c>
      <c r="H6" s="61">
        <v>12.000999999999999</v>
      </c>
      <c r="I6" s="61">
        <v>99</v>
      </c>
      <c r="J6" s="61">
        <v>100</v>
      </c>
      <c r="K6" s="61">
        <v>0</v>
      </c>
      <c r="L6" s="61">
        <v>0</v>
      </c>
      <c r="M6" s="62" t="s">
        <v>78</v>
      </c>
    </row>
    <row r="7" spans="1:13" ht="12.75" customHeight="1" x14ac:dyDescent="0.25">
      <c r="A7" s="61">
        <v>22</v>
      </c>
      <c r="B7" s="62" t="s">
        <v>0</v>
      </c>
      <c r="C7" s="62" t="s">
        <v>171</v>
      </c>
      <c r="D7" s="61" t="b">
        <v>0</v>
      </c>
      <c r="E7" s="61">
        <v>6.5</v>
      </c>
      <c r="F7" s="61">
        <v>1</v>
      </c>
      <c r="G7" s="61">
        <v>13</v>
      </c>
      <c r="H7" s="61">
        <v>0</v>
      </c>
      <c r="I7" s="61">
        <v>8.5</v>
      </c>
      <c r="J7" s="61">
        <v>-109.509</v>
      </c>
      <c r="K7" s="61">
        <v>43.652900000000002</v>
      </c>
      <c r="L7" s="61">
        <v>-2.23081</v>
      </c>
      <c r="M7" s="62" t="s">
        <v>78</v>
      </c>
    </row>
    <row r="8" spans="1:13" ht="12.75" customHeight="1" x14ac:dyDescent="0.25">
      <c r="A8" s="61">
        <v>22</v>
      </c>
      <c r="B8" s="62" t="s">
        <v>0</v>
      </c>
      <c r="C8" s="62" t="s">
        <v>171</v>
      </c>
      <c r="D8" s="61" t="b">
        <v>0</v>
      </c>
      <c r="E8" s="61">
        <v>6.5</v>
      </c>
      <c r="F8" s="61">
        <v>1</v>
      </c>
      <c r="G8" s="61">
        <v>13</v>
      </c>
      <c r="H8" s="61">
        <v>8.5009999999999994</v>
      </c>
      <c r="I8" s="61">
        <v>99</v>
      </c>
      <c r="J8" s="61">
        <v>100</v>
      </c>
      <c r="K8" s="61">
        <v>0</v>
      </c>
      <c r="L8" s="61">
        <v>0</v>
      </c>
      <c r="M8" s="62" t="s">
        <v>78</v>
      </c>
    </row>
    <row r="9" spans="1:13" ht="12.75" customHeight="1" x14ac:dyDescent="0.25">
      <c r="A9" s="61">
        <v>23</v>
      </c>
      <c r="B9" s="62" t="s">
        <v>0</v>
      </c>
      <c r="C9" s="62" t="s">
        <v>161</v>
      </c>
      <c r="D9" s="61" t="b">
        <v>0</v>
      </c>
      <c r="E9" s="61">
        <v>9.5</v>
      </c>
      <c r="F9" s="61">
        <v>1</v>
      </c>
      <c r="G9" s="61">
        <v>13</v>
      </c>
      <c r="H9" s="61">
        <v>12.500999999999999</v>
      </c>
      <c r="I9" s="61">
        <v>99</v>
      </c>
      <c r="J9" s="61">
        <v>100</v>
      </c>
      <c r="K9" s="61">
        <v>0</v>
      </c>
      <c r="L9" s="61">
        <v>0</v>
      </c>
      <c r="M9" s="62" t="s">
        <v>78</v>
      </c>
    </row>
    <row r="10" spans="1:13" ht="12.75" customHeight="1" x14ac:dyDescent="0.25">
      <c r="A10" s="61">
        <v>23</v>
      </c>
      <c r="B10" s="62" t="s">
        <v>0</v>
      </c>
      <c r="C10" s="62" t="s">
        <v>161</v>
      </c>
      <c r="D10" s="61" t="b">
        <v>0</v>
      </c>
      <c r="E10" s="61">
        <v>9.5</v>
      </c>
      <c r="F10" s="61">
        <v>1</v>
      </c>
      <c r="G10" s="61">
        <v>13</v>
      </c>
      <c r="H10" s="61">
        <v>0</v>
      </c>
      <c r="I10" s="61">
        <v>12.5</v>
      </c>
      <c r="J10" s="61">
        <v>-130.69999999999999</v>
      </c>
      <c r="K10" s="61">
        <v>33.81</v>
      </c>
      <c r="L10" s="61">
        <v>-1.22397</v>
      </c>
      <c r="M10" s="62" t="s">
        <v>78</v>
      </c>
    </row>
    <row r="11" spans="1:13" ht="12.75" customHeight="1" x14ac:dyDescent="0.25">
      <c r="A11" s="61">
        <v>24</v>
      </c>
      <c r="B11" s="62" t="s">
        <v>0</v>
      </c>
      <c r="C11" s="62" t="s">
        <v>158</v>
      </c>
      <c r="D11" s="61" t="b">
        <v>0</v>
      </c>
      <c r="E11" s="61">
        <v>8</v>
      </c>
      <c r="F11" s="61">
        <v>9.5</v>
      </c>
      <c r="G11" s="61">
        <v>13</v>
      </c>
      <c r="H11" s="61">
        <v>12.000999999999999</v>
      </c>
      <c r="I11" s="61">
        <v>99</v>
      </c>
      <c r="J11" s="61">
        <v>100</v>
      </c>
      <c r="K11" s="61">
        <v>0</v>
      </c>
      <c r="L11" s="61">
        <v>0</v>
      </c>
      <c r="M11" s="62" t="s">
        <v>78</v>
      </c>
    </row>
    <row r="12" spans="1:13" ht="12.75" customHeight="1" x14ac:dyDescent="0.25">
      <c r="A12" s="61">
        <v>24</v>
      </c>
      <c r="B12" s="62" t="s">
        <v>0</v>
      </c>
      <c r="C12" s="62" t="s">
        <v>158</v>
      </c>
      <c r="D12" s="61" t="b">
        <v>0</v>
      </c>
      <c r="E12" s="61">
        <v>8</v>
      </c>
      <c r="F12" s="61">
        <v>9.5</v>
      </c>
      <c r="G12" s="61">
        <v>13</v>
      </c>
      <c r="H12" s="61">
        <v>0</v>
      </c>
      <c r="I12" s="61">
        <v>12</v>
      </c>
      <c r="J12" s="61">
        <v>-67.025499999999994</v>
      </c>
      <c r="K12" s="61">
        <v>27.5473</v>
      </c>
      <c r="L12" s="61">
        <v>-1.14663</v>
      </c>
      <c r="M12" s="62" t="s">
        <v>78</v>
      </c>
    </row>
    <row r="13" spans="1:13" ht="12.75" customHeight="1" x14ac:dyDescent="0.25">
      <c r="A13" s="61">
        <v>24</v>
      </c>
      <c r="B13" s="62" t="s">
        <v>0</v>
      </c>
      <c r="C13" s="62" t="s">
        <v>158</v>
      </c>
      <c r="D13" s="61" t="b">
        <v>0</v>
      </c>
      <c r="E13" s="61">
        <v>5</v>
      </c>
      <c r="F13" s="61">
        <v>6</v>
      </c>
      <c r="G13" s="61">
        <v>9.5</v>
      </c>
      <c r="H13" s="61">
        <v>7.5010000000000003</v>
      </c>
      <c r="I13" s="61">
        <v>99</v>
      </c>
      <c r="J13" s="61">
        <v>100</v>
      </c>
      <c r="K13" s="61">
        <v>0</v>
      </c>
      <c r="L13" s="61">
        <v>0</v>
      </c>
      <c r="M13" s="62" t="s">
        <v>78</v>
      </c>
    </row>
    <row r="14" spans="1:13" ht="12.75" customHeight="1" x14ac:dyDescent="0.25">
      <c r="A14" s="61">
        <v>24</v>
      </c>
      <c r="B14" s="62" t="s">
        <v>0</v>
      </c>
      <c r="C14" s="62" t="s">
        <v>158</v>
      </c>
      <c r="D14" s="61" t="b">
        <v>0</v>
      </c>
      <c r="E14" s="61">
        <v>5</v>
      </c>
      <c r="F14" s="61">
        <v>6</v>
      </c>
      <c r="G14" s="61">
        <v>9.5</v>
      </c>
      <c r="H14" s="61">
        <v>0</v>
      </c>
      <c r="I14" s="61">
        <v>7.5</v>
      </c>
      <c r="J14" s="61">
        <v>-64.444400000000002</v>
      </c>
      <c r="K14" s="61">
        <v>42.777799999999999</v>
      </c>
      <c r="L14" s="61">
        <v>-2.7778</v>
      </c>
      <c r="M14" s="62" t="s">
        <v>23</v>
      </c>
    </row>
    <row r="15" spans="1:13" ht="12.75" customHeight="1" x14ac:dyDescent="0.25">
      <c r="A15" s="61">
        <v>24</v>
      </c>
      <c r="B15" s="62" t="s">
        <v>0</v>
      </c>
      <c r="C15" s="62" t="s">
        <v>158</v>
      </c>
      <c r="D15" s="61" t="b">
        <v>0</v>
      </c>
      <c r="E15" s="61">
        <v>8</v>
      </c>
      <c r="F15" s="61">
        <v>1</v>
      </c>
      <c r="G15" s="61">
        <v>6</v>
      </c>
      <c r="H15" s="61">
        <v>0</v>
      </c>
      <c r="I15" s="61">
        <v>12</v>
      </c>
      <c r="J15" s="61">
        <v>-67.025499999999994</v>
      </c>
      <c r="K15" s="61">
        <v>27.5473</v>
      </c>
      <c r="L15" s="61">
        <v>-1.14663</v>
      </c>
      <c r="M15" s="62" t="s">
        <v>78</v>
      </c>
    </row>
    <row r="16" spans="1:13" ht="12.75" customHeight="1" x14ac:dyDescent="0.25">
      <c r="A16" s="61">
        <v>24</v>
      </c>
      <c r="B16" s="62" t="s">
        <v>0</v>
      </c>
      <c r="C16" s="62" t="s">
        <v>158</v>
      </c>
      <c r="D16" s="61" t="b">
        <v>0</v>
      </c>
      <c r="E16" s="61">
        <v>8</v>
      </c>
      <c r="F16" s="61">
        <v>1</v>
      </c>
      <c r="G16" s="61">
        <v>6</v>
      </c>
      <c r="H16" s="61">
        <v>12.000999999999999</v>
      </c>
      <c r="I16" s="61">
        <v>99</v>
      </c>
      <c r="J16" s="61">
        <v>100</v>
      </c>
      <c r="K16" s="61">
        <v>0</v>
      </c>
      <c r="L16" s="61">
        <v>0</v>
      </c>
      <c r="M16" s="62" t="s">
        <v>78</v>
      </c>
    </row>
    <row r="17" spans="1:13" ht="12.75" customHeight="1" x14ac:dyDescent="0.25">
      <c r="A17" s="61">
        <v>25</v>
      </c>
      <c r="B17" s="62" t="s">
        <v>0</v>
      </c>
      <c r="C17" s="62" t="s">
        <v>24</v>
      </c>
      <c r="D17" s="61" t="b">
        <v>0</v>
      </c>
      <c r="E17" s="61">
        <v>5</v>
      </c>
      <c r="F17" s="61">
        <v>1</v>
      </c>
      <c r="G17" s="61">
        <v>13</v>
      </c>
      <c r="H17" s="61">
        <v>0</v>
      </c>
      <c r="I17" s="61">
        <v>7.5</v>
      </c>
      <c r="J17" s="61">
        <v>-64.444400000000002</v>
      </c>
      <c r="K17" s="61">
        <v>42.777799999999999</v>
      </c>
      <c r="L17" s="61">
        <v>-2.7778</v>
      </c>
      <c r="M17" s="62" t="s">
        <v>25</v>
      </c>
    </row>
    <row r="18" spans="1:13" ht="12.75" customHeight="1" x14ac:dyDescent="0.25">
      <c r="A18" s="61">
        <v>25</v>
      </c>
      <c r="B18" s="62" t="s">
        <v>0</v>
      </c>
      <c r="C18" s="62" t="s">
        <v>24</v>
      </c>
      <c r="D18" s="61" t="b">
        <v>0</v>
      </c>
      <c r="E18" s="61">
        <v>5</v>
      </c>
      <c r="F18" s="61">
        <v>1</v>
      </c>
      <c r="G18" s="61">
        <v>13</v>
      </c>
      <c r="H18" s="61">
        <v>7.5010000000000003</v>
      </c>
      <c r="I18" s="61">
        <v>99</v>
      </c>
      <c r="J18" s="61">
        <v>100</v>
      </c>
      <c r="K18" s="61">
        <v>0</v>
      </c>
      <c r="L18" s="61">
        <v>0</v>
      </c>
      <c r="M18" s="62" t="s">
        <v>78</v>
      </c>
    </row>
    <row r="19" spans="1:13" ht="12.75" customHeight="1" x14ac:dyDescent="0.25">
      <c r="A19" s="61">
        <v>26</v>
      </c>
      <c r="B19" s="62" t="s">
        <v>0</v>
      </c>
      <c r="C19" s="62" t="s">
        <v>162</v>
      </c>
      <c r="D19" s="61" t="b">
        <v>0</v>
      </c>
      <c r="E19" s="61">
        <v>9.5</v>
      </c>
      <c r="F19" s="61">
        <v>1</v>
      </c>
      <c r="G19" s="61">
        <v>13</v>
      </c>
      <c r="H19" s="61">
        <v>0</v>
      </c>
      <c r="I19" s="61">
        <v>12.5</v>
      </c>
      <c r="J19" s="61">
        <v>-130.69999999999999</v>
      </c>
      <c r="K19" s="61">
        <v>33.81</v>
      </c>
      <c r="L19" s="61">
        <v>-1.22397</v>
      </c>
      <c r="M19" s="62" t="s">
        <v>78</v>
      </c>
    </row>
    <row r="20" spans="1:13" ht="12.75" customHeight="1" x14ac:dyDescent="0.25">
      <c r="A20" s="61">
        <v>26</v>
      </c>
      <c r="B20" s="62" t="s">
        <v>0</v>
      </c>
      <c r="C20" s="62" t="s">
        <v>162</v>
      </c>
      <c r="D20" s="61" t="b">
        <v>0</v>
      </c>
      <c r="E20" s="61">
        <v>9.5</v>
      </c>
      <c r="F20" s="61">
        <v>1</v>
      </c>
      <c r="G20" s="61">
        <v>13</v>
      </c>
      <c r="H20" s="61">
        <v>12.5</v>
      </c>
      <c r="I20" s="61">
        <v>99</v>
      </c>
      <c r="J20" s="61">
        <v>100</v>
      </c>
      <c r="K20" s="61">
        <v>0</v>
      </c>
      <c r="L20" s="61">
        <v>0</v>
      </c>
      <c r="M20" s="62" t="s">
        <v>78</v>
      </c>
    </row>
    <row r="21" spans="1:13" ht="12.75" customHeight="1" x14ac:dyDescent="0.25">
      <c r="A21" s="61">
        <v>41</v>
      </c>
      <c r="B21" s="62" t="s">
        <v>1</v>
      </c>
      <c r="C21" s="62" t="s">
        <v>159</v>
      </c>
      <c r="D21" s="61" t="b">
        <v>0</v>
      </c>
      <c r="E21" s="61">
        <v>8.5</v>
      </c>
      <c r="F21" s="61">
        <v>1</v>
      </c>
      <c r="G21" s="61">
        <v>13</v>
      </c>
      <c r="H21" s="61">
        <v>7.5010000000000003</v>
      </c>
      <c r="I21" s="61">
        <v>9.9</v>
      </c>
      <c r="J21" s="61">
        <v>-339.16199999999998</v>
      </c>
      <c r="K21" s="61">
        <v>128.62700000000001</v>
      </c>
      <c r="L21" s="61">
        <v>-9.3308900000000001</v>
      </c>
      <c r="M21" s="62" t="s">
        <v>78</v>
      </c>
    </row>
    <row r="22" spans="1:13" ht="12.75" customHeight="1" x14ac:dyDescent="0.25">
      <c r="A22" s="61">
        <v>41</v>
      </c>
      <c r="B22" s="62" t="s">
        <v>1</v>
      </c>
      <c r="C22" s="62" t="s">
        <v>159</v>
      </c>
      <c r="D22" s="61" t="b">
        <v>0</v>
      </c>
      <c r="E22" s="61">
        <v>6.5</v>
      </c>
      <c r="F22" s="61">
        <v>1</v>
      </c>
      <c r="G22" s="61">
        <v>13</v>
      </c>
      <c r="H22" s="61">
        <v>4</v>
      </c>
      <c r="I22" s="61">
        <v>7.5</v>
      </c>
      <c r="J22" s="61">
        <v>-531.62199999999996</v>
      </c>
      <c r="K22" s="61">
        <v>158.619</v>
      </c>
      <c r="L22" s="61">
        <v>-9.9267199999999995</v>
      </c>
      <c r="M22" s="62" t="s">
        <v>78</v>
      </c>
    </row>
    <row r="23" spans="1:13" ht="12.75" customHeight="1" x14ac:dyDescent="0.25">
      <c r="A23" s="61">
        <v>81</v>
      </c>
      <c r="B23" s="62" t="s">
        <v>151</v>
      </c>
      <c r="C23" s="62" t="s">
        <v>76</v>
      </c>
      <c r="D23" s="61" t="s">
        <v>75</v>
      </c>
      <c r="E23" s="61">
        <v>0</v>
      </c>
      <c r="F23" s="61">
        <v>1</v>
      </c>
      <c r="G23" s="61">
        <v>6</v>
      </c>
      <c r="H23" s="61">
        <v>0</v>
      </c>
      <c r="I23" s="61">
        <v>999999</v>
      </c>
      <c r="J23" s="61">
        <v>100.7321</v>
      </c>
      <c r="K23" s="61">
        <v>-5.1737700000000002</v>
      </c>
      <c r="L23" s="61">
        <v>-1.3147800000000001</v>
      </c>
      <c r="M23" s="62" t="s">
        <v>28</v>
      </c>
    </row>
    <row r="24" spans="1:13" ht="12.75" customHeight="1" x14ac:dyDescent="0.25">
      <c r="A24" s="61">
        <v>81</v>
      </c>
      <c r="B24" s="62" t="s">
        <v>151</v>
      </c>
      <c r="C24" s="62" t="s">
        <v>76</v>
      </c>
      <c r="D24" s="61" t="s">
        <v>75</v>
      </c>
      <c r="E24" s="61">
        <v>0</v>
      </c>
      <c r="F24" s="61">
        <v>6</v>
      </c>
      <c r="G24" s="61">
        <v>11</v>
      </c>
      <c r="H24" s="61">
        <v>0</v>
      </c>
      <c r="I24" s="61">
        <v>999999</v>
      </c>
      <c r="J24" s="61">
        <v>102.34439999999999</v>
      </c>
      <c r="K24" s="61">
        <v>-19.28875</v>
      </c>
      <c r="L24" s="61">
        <v>8.7332000000000007E-2</v>
      </c>
      <c r="M24" s="62" t="s">
        <v>28</v>
      </c>
    </row>
    <row r="25" spans="1:13" ht="12.75" customHeight="1" x14ac:dyDescent="0.25">
      <c r="A25" s="61">
        <v>81</v>
      </c>
      <c r="B25" s="62" t="s">
        <v>151</v>
      </c>
      <c r="C25" s="62" t="s">
        <v>76</v>
      </c>
      <c r="D25" s="61" t="s">
        <v>75</v>
      </c>
      <c r="E25" s="61">
        <v>0</v>
      </c>
      <c r="F25" s="61">
        <v>11</v>
      </c>
      <c r="G25" s="61">
        <v>13</v>
      </c>
      <c r="H25" s="61">
        <v>0</v>
      </c>
      <c r="I25" s="61">
        <v>999999</v>
      </c>
      <c r="J25" s="61">
        <v>100.7321</v>
      </c>
      <c r="K25" s="61">
        <v>-5.1737700000000002</v>
      </c>
      <c r="L25" s="61">
        <v>-1.3147800000000001</v>
      </c>
      <c r="M25" s="62" t="s">
        <v>28</v>
      </c>
    </row>
    <row r="26" spans="1:13" ht="12.75" customHeight="1" x14ac:dyDescent="0.25">
      <c r="A26" s="61">
        <v>82</v>
      </c>
      <c r="B26" s="62" t="s">
        <v>151</v>
      </c>
      <c r="C26" s="62" t="s">
        <v>80</v>
      </c>
      <c r="D26" s="61" t="s">
        <v>75</v>
      </c>
      <c r="E26" s="61">
        <v>0</v>
      </c>
      <c r="F26" s="61">
        <v>1</v>
      </c>
      <c r="G26" s="61">
        <v>6</v>
      </c>
      <c r="H26" s="61">
        <v>0</v>
      </c>
      <c r="I26" s="61">
        <v>999999</v>
      </c>
      <c r="J26" s="61">
        <v>100.7779</v>
      </c>
      <c r="K26" s="61">
        <v>1.4727300000000001</v>
      </c>
      <c r="L26" s="61">
        <v>-2.1601400000000002</v>
      </c>
      <c r="M26" s="62" t="s">
        <v>28</v>
      </c>
    </row>
    <row r="27" spans="1:13" ht="12.75" customHeight="1" x14ac:dyDescent="0.25">
      <c r="A27" s="61">
        <v>82</v>
      </c>
      <c r="B27" s="62" t="s">
        <v>151</v>
      </c>
      <c r="C27" s="62" t="s">
        <v>80</v>
      </c>
      <c r="D27" s="61" t="s">
        <v>75</v>
      </c>
      <c r="E27" s="61">
        <v>0</v>
      </c>
      <c r="F27" s="61">
        <v>6</v>
      </c>
      <c r="G27" s="61">
        <v>11</v>
      </c>
      <c r="H27" s="61">
        <v>0</v>
      </c>
      <c r="I27" s="61">
        <v>999999</v>
      </c>
      <c r="J27" s="61">
        <v>109.9171</v>
      </c>
      <c r="K27" s="61">
        <v>-11.278700000000001</v>
      </c>
      <c r="L27" s="61">
        <v>-0.69810300000000003</v>
      </c>
      <c r="M27" s="62" t="s">
        <v>28</v>
      </c>
    </row>
    <row r="28" spans="1:13" ht="12.75" customHeight="1" x14ac:dyDescent="0.25">
      <c r="A28" s="61">
        <v>82</v>
      </c>
      <c r="B28" s="62" t="s">
        <v>151</v>
      </c>
      <c r="C28" s="62" t="s">
        <v>80</v>
      </c>
      <c r="D28" s="61" t="s">
        <v>75</v>
      </c>
      <c r="E28" s="61">
        <v>0</v>
      </c>
      <c r="F28" s="61">
        <v>11</v>
      </c>
      <c r="G28" s="61">
        <v>13</v>
      </c>
      <c r="H28" s="61">
        <v>0</v>
      </c>
      <c r="I28" s="61">
        <v>999999</v>
      </c>
      <c r="J28" s="61">
        <v>100.7779</v>
      </c>
      <c r="K28" s="61">
        <v>1.4727300000000001</v>
      </c>
      <c r="L28" s="61">
        <v>-2.1601400000000002</v>
      </c>
      <c r="M28" s="62" t="s">
        <v>28</v>
      </c>
    </row>
    <row r="29" spans="1:13" ht="12.75" customHeight="1" x14ac:dyDescent="0.25">
      <c r="A29" s="61">
        <v>83</v>
      </c>
      <c r="B29" s="62" t="s">
        <v>151</v>
      </c>
      <c r="C29" s="62" t="s">
        <v>79</v>
      </c>
      <c r="D29" s="61" t="s">
        <v>75</v>
      </c>
      <c r="E29" s="61">
        <v>0</v>
      </c>
      <c r="F29" s="61">
        <v>1</v>
      </c>
      <c r="G29" s="61">
        <v>6</v>
      </c>
      <c r="H29" s="61">
        <v>0</v>
      </c>
      <c r="I29" s="61">
        <v>999999</v>
      </c>
      <c r="J29" s="61">
        <v>100.90779999999999</v>
      </c>
      <c r="K29" s="61">
        <v>-7.1955999999999998</v>
      </c>
      <c r="L29" s="61">
        <v>-2.2653599999999998</v>
      </c>
      <c r="M29" s="62" t="s">
        <v>28</v>
      </c>
    </row>
    <row r="30" spans="1:13" ht="12.75" customHeight="1" x14ac:dyDescent="0.25">
      <c r="A30" s="61">
        <v>83</v>
      </c>
      <c r="B30" s="62" t="s">
        <v>151</v>
      </c>
      <c r="C30" s="62" t="s">
        <v>79</v>
      </c>
      <c r="D30" s="61" t="s">
        <v>75</v>
      </c>
      <c r="E30" s="61">
        <v>0</v>
      </c>
      <c r="F30" s="61">
        <v>6</v>
      </c>
      <c r="G30" s="61">
        <v>11</v>
      </c>
      <c r="H30" s="61">
        <v>0</v>
      </c>
      <c r="I30" s="61">
        <v>999999</v>
      </c>
      <c r="J30" s="61">
        <v>102.5005</v>
      </c>
      <c r="K30" s="61">
        <v>-26.039000000000001</v>
      </c>
      <c r="L30" s="61">
        <v>-0.768096</v>
      </c>
      <c r="M30" s="62" t="s">
        <v>28</v>
      </c>
    </row>
    <row r="31" spans="1:13" ht="12.75" customHeight="1" x14ac:dyDescent="0.25">
      <c r="A31" s="61">
        <v>83</v>
      </c>
      <c r="B31" s="62" t="s">
        <v>151</v>
      </c>
      <c r="C31" s="62" t="s">
        <v>79</v>
      </c>
      <c r="D31" s="61" t="s">
        <v>75</v>
      </c>
      <c r="E31" s="61">
        <v>0</v>
      </c>
      <c r="F31" s="61">
        <v>11</v>
      </c>
      <c r="G31" s="61">
        <v>13</v>
      </c>
      <c r="H31" s="61">
        <v>0</v>
      </c>
      <c r="I31" s="61">
        <v>999999</v>
      </c>
      <c r="J31" s="61">
        <v>100.90779999999999</v>
      </c>
      <c r="K31" s="61">
        <v>-7.1955999999999998</v>
      </c>
      <c r="L31" s="61">
        <v>-2.2653599999999998</v>
      </c>
      <c r="M31" s="62" t="s">
        <v>28</v>
      </c>
    </row>
    <row r="32" spans="1:13" ht="12.75" customHeight="1" x14ac:dyDescent="0.25">
      <c r="A32" s="61">
        <v>84</v>
      </c>
      <c r="B32" s="62" t="s">
        <v>151</v>
      </c>
      <c r="C32" s="62" t="s">
        <v>81</v>
      </c>
      <c r="D32" s="61" t="s">
        <v>75</v>
      </c>
      <c r="E32" s="61">
        <v>0</v>
      </c>
      <c r="F32" s="61">
        <v>1</v>
      </c>
      <c r="G32" s="61">
        <v>6</v>
      </c>
      <c r="H32" s="61">
        <v>0</v>
      </c>
      <c r="I32" s="61">
        <v>999999</v>
      </c>
      <c r="J32" s="61">
        <v>101.1482</v>
      </c>
      <c r="K32" s="61">
        <v>-4.2313599999999996</v>
      </c>
      <c r="L32" s="61">
        <v>-1.33006</v>
      </c>
      <c r="M32" s="62" t="s">
        <v>28</v>
      </c>
    </row>
    <row r="33" spans="1:22" ht="12.75" customHeight="1" x14ac:dyDescent="0.25">
      <c r="A33" s="61">
        <v>84</v>
      </c>
      <c r="B33" s="62" t="s">
        <v>151</v>
      </c>
      <c r="C33" s="62" t="s">
        <v>81</v>
      </c>
      <c r="D33" s="61" t="s">
        <v>75</v>
      </c>
      <c r="E33" s="61">
        <v>0</v>
      </c>
      <c r="F33" s="61">
        <v>6</v>
      </c>
      <c r="G33" s="61">
        <v>11</v>
      </c>
      <c r="H33" s="61">
        <v>0</v>
      </c>
      <c r="I33" s="61">
        <v>999999</v>
      </c>
      <c r="J33" s="61">
        <v>100.2034</v>
      </c>
      <c r="K33" s="61">
        <v>8.4970599999999994</v>
      </c>
      <c r="L33" s="61">
        <v>-5.1793699999999996</v>
      </c>
      <c r="M33" s="62" t="s">
        <v>28</v>
      </c>
    </row>
    <row r="34" spans="1:22" ht="12.75" customHeight="1" x14ac:dyDescent="0.25">
      <c r="A34" s="61">
        <v>84</v>
      </c>
      <c r="B34" s="62" t="s">
        <v>151</v>
      </c>
      <c r="C34" s="62" t="s">
        <v>81</v>
      </c>
      <c r="D34" s="61" t="s">
        <v>75</v>
      </c>
      <c r="E34" s="61">
        <v>0</v>
      </c>
      <c r="F34" s="61">
        <v>11</v>
      </c>
      <c r="G34" s="61">
        <v>13</v>
      </c>
      <c r="H34" s="61">
        <v>0</v>
      </c>
      <c r="I34" s="61">
        <v>999999</v>
      </c>
      <c r="J34" s="61">
        <v>101.1482</v>
      </c>
      <c r="K34" s="61">
        <v>-4.2313599999999996</v>
      </c>
      <c r="L34" s="61">
        <v>-1.33006</v>
      </c>
      <c r="M34" s="62" t="s">
        <v>28</v>
      </c>
    </row>
    <row r="35" spans="1:22" ht="12.75" customHeight="1" x14ac:dyDescent="0.25">
      <c r="A35" s="61">
        <v>85</v>
      </c>
      <c r="B35" s="62" t="s">
        <v>151</v>
      </c>
      <c r="C35" s="62" t="s">
        <v>77</v>
      </c>
      <c r="D35" s="61" t="s">
        <v>75</v>
      </c>
      <c r="E35" s="61">
        <v>0</v>
      </c>
      <c r="F35" s="61">
        <v>1</v>
      </c>
      <c r="G35" s="61">
        <v>6</v>
      </c>
      <c r="H35" s="61">
        <v>0</v>
      </c>
      <c r="I35" s="61">
        <v>999999</v>
      </c>
      <c r="J35" s="61">
        <v>102.687</v>
      </c>
      <c r="K35" s="61">
        <v>-17.525600000000001</v>
      </c>
      <c r="L35" s="61">
        <v>0.46776899999999999</v>
      </c>
      <c r="M35" s="62" t="s">
        <v>28</v>
      </c>
    </row>
    <row r="36" spans="1:22" ht="12.75" customHeight="1" x14ac:dyDescent="0.25">
      <c r="A36" s="61">
        <v>85</v>
      </c>
      <c r="B36" s="62" t="s">
        <v>151</v>
      </c>
      <c r="C36" s="62" t="s">
        <v>77</v>
      </c>
      <c r="D36" s="61" t="s">
        <v>75</v>
      </c>
      <c r="E36" s="61">
        <v>0</v>
      </c>
      <c r="F36" s="61">
        <v>6</v>
      </c>
      <c r="G36" s="61">
        <v>11</v>
      </c>
      <c r="H36" s="61">
        <v>0</v>
      </c>
      <c r="I36" s="61">
        <v>999999</v>
      </c>
      <c r="J36" s="61">
        <v>101.9152</v>
      </c>
      <c r="K36" s="61">
        <v>-17.276499999999999</v>
      </c>
      <c r="L36" s="61">
        <v>-1.3942399999999999</v>
      </c>
      <c r="M36" s="62" t="s">
        <v>28</v>
      </c>
    </row>
    <row r="37" spans="1:22" ht="12.75" customHeight="1" x14ac:dyDescent="0.25">
      <c r="A37" s="61">
        <v>85</v>
      </c>
      <c r="B37" s="62" t="s">
        <v>151</v>
      </c>
      <c r="C37" s="62" t="s">
        <v>77</v>
      </c>
      <c r="D37" s="61" t="s">
        <v>75</v>
      </c>
      <c r="E37" s="61">
        <v>0</v>
      </c>
      <c r="F37" s="61">
        <v>11</v>
      </c>
      <c r="G37" s="61">
        <v>13</v>
      </c>
      <c r="H37" s="61">
        <v>0</v>
      </c>
      <c r="I37" s="61">
        <v>999999</v>
      </c>
      <c r="J37" s="61">
        <v>102.687</v>
      </c>
      <c r="K37" s="61">
        <v>-17.525600000000001</v>
      </c>
      <c r="L37" s="61">
        <v>0.46776899999999999</v>
      </c>
      <c r="M37" s="62" t="s">
        <v>28</v>
      </c>
      <c r="N37" s="100"/>
    </row>
    <row r="38" spans="1:22" ht="12.75" customHeight="1" x14ac:dyDescent="0.25">
      <c r="A38" s="61">
        <v>6</v>
      </c>
      <c r="B38" s="62" t="s">
        <v>19</v>
      </c>
      <c r="C38" s="62" t="s">
        <v>92</v>
      </c>
      <c r="D38" s="61" t="s">
        <v>160</v>
      </c>
      <c r="E38" s="61">
        <v>21</v>
      </c>
      <c r="F38" s="61">
        <v>1</v>
      </c>
      <c r="G38" s="61">
        <v>13</v>
      </c>
      <c r="H38" s="61">
        <v>-9</v>
      </c>
      <c r="I38" s="61">
        <v>99</v>
      </c>
      <c r="J38" s="61">
        <v>88.123400000000004</v>
      </c>
      <c r="K38" s="61">
        <v>3.9807999999999999</v>
      </c>
      <c r="L38" s="61">
        <v>-0.20788499999999999</v>
      </c>
      <c r="M38" s="62" t="s">
        <v>78</v>
      </c>
    </row>
    <row r="39" spans="1:22" ht="12.75" customHeight="1" x14ac:dyDescent="0.25">
      <c r="A39" s="61">
        <v>7</v>
      </c>
      <c r="B39" s="62" t="s">
        <v>19</v>
      </c>
      <c r="C39" s="62" t="s">
        <v>94</v>
      </c>
      <c r="D39" s="61" t="s">
        <v>160</v>
      </c>
      <c r="E39" s="61">
        <v>12</v>
      </c>
      <c r="F39" s="61">
        <v>1</v>
      </c>
      <c r="G39" s="61">
        <v>13</v>
      </c>
      <c r="H39" s="61">
        <v>-9</v>
      </c>
      <c r="I39" s="61">
        <v>99</v>
      </c>
      <c r="J39" s="61">
        <v>103.85</v>
      </c>
      <c r="K39" s="61">
        <v>-0.17219999999999999</v>
      </c>
      <c r="L39" s="61">
        <v>-0.15129999999999999</v>
      </c>
      <c r="M39" s="62" t="s">
        <v>78</v>
      </c>
    </row>
    <row r="40" spans="1:22" ht="12.75" customHeight="1" x14ac:dyDescent="0.25">
      <c r="A40" s="61">
        <v>8</v>
      </c>
      <c r="B40" s="62" t="s">
        <v>19</v>
      </c>
      <c r="C40" s="62" t="s">
        <v>96</v>
      </c>
      <c r="D40" s="61" t="s">
        <v>160</v>
      </c>
      <c r="E40" s="61">
        <v>16</v>
      </c>
      <c r="F40" s="61">
        <v>1</v>
      </c>
      <c r="G40" s="61">
        <v>13</v>
      </c>
      <c r="H40" s="61">
        <v>-9</v>
      </c>
      <c r="I40" s="61">
        <v>99</v>
      </c>
      <c r="J40" s="61">
        <v>99.92</v>
      </c>
      <c r="K40" s="61">
        <v>0.92390700000000003</v>
      </c>
      <c r="L40" s="61">
        <v>-0.13556000000000001</v>
      </c>
      <c r="M40" s="62" t="s">
        <v>78</v>
      </c>
    </row>
    <row r="41" spans="1:22" ht="12.75" customHeight="1" x14ac:dyDescent="0.25">
      <c r="A41" s="61">
        <v>9</v>
      </c>
      <c r="B41" s="62" t="s">
        <v>19</v>
      </c>
      <c r="C41" s="62" t="s">
        <v>163</v>
      </c>
      <c r="D41" s="61" t="s">
        <v>160</v>
      </c>
      <c r="E41" s="61">
        <v>17.5</v>
      </c>
      <c r="F41" s="61">
        <v>1</v>
      </c>
      <c r="G41" s="61">
        <v>13</v>
      </c>
      <c r="H41" s="61">
        <v>-9</v>
      </c>
      <c r="I41" s="61">
        <v>99</v>
      </c>
      <c r="J41" s="61">
        <v>105.345</v>
      </c>
      <c r="K41" s="61">
        <v>0.92390700000000003</v>
      </c>
      <c r="L41" s="61">
        <v>-0.13556000000000001</v>
      </c>
      <c r="M41" s="62" t="s">
        <v>78</v>
      </c>
    </row>
    <row r="42" spans="1:22" ht="12.75" customHeight="1" x14ac:dyDescent="0.25">
      <c r="A42" s="61">
        <v>10</v>
      </c>
      <c r="B42" s="62" t="s">
        <v>19</v>
      </c>
      <c r="C42" s="62" t="s">
        <v>164</v>
      </c>
      <c r="D42" s="61" t="s">
        <v>160</v>
      </c>
      <c r="E42" s="61">
        <v>17.5</v>
      </c>
      <c r="F42" s="61">
        <v>1</v>
      </c>
      <c r="G42" s="61">
        <v>13</v>
      </c>
      <c r="H42" s="61">
        <v>-9</v>
      </c>
      <c r="I42" s="61">
        <v>99</v>
      </c>
      <c r="J42" s="61">
        <v>105.345</v>
      </c>
      <c r="K42" s="61">
        <v>0.92390700000000003</v>
      </c>
      <c r="L42" s="61">
        <v>-0.13556000000000001</v>
      </c>
      <c r="M42" s="62" t="s">
        <v>78</v>
      </c>
    </row>
    <row r="43" spans="1:22" ht="12.75" customHeight="1" x14ac:dyDescent="0.25">
      <c r="A43" s="61">
        <v>13</v>
      </c>
      <c r="B43" s="62" t="s">
        <v>19</v>
      </c>
      <c r="C43" s="62" t="s">
        <v>93</v>
      </c>
      <c r="D43" s="61" t="s">
        <v>160</v>
      </c>
      <c r="E43" s="61">
        <v>20</v>
      </c>
      <c r="F43" s="61">
        <v>1</v>
      </c>
      <c r="G43" s="61">
        <v>13</v>
      </c>
      <c r="H43" s="61">
        <v>-9</v>
      </c>
      <c r="I43" s="61">
        <v>99</v>
      </c>
      <c r="J43" s="61">
        <v>104.8229</v>
      </c>
      <c r="K43" s="61">
        <v>2.0088599999999999</v>
      </c>
      <c r="L43" s="61">
        <v>-0.16245299999999999</v>
      </c>
      <c r="M43" s="62" t="s">
        <v>78</v>
      </c>
    </row>
    <row r="44" spans="1:22" ht="12.75" customHeight="1" x14ac:dyDescent="0.25">
      <c r="A44" s="61">
        <v>301</v>
      </c>
      <c r="B44" s="62" t="s">
        <v>19</v>
      </c>
      <c r="C44" s="62" t="s">
        <v>112</v>
      </c>
      <c r="D44" s="61" t="s">
        <v>160</v>
      </c>
      <c r="E44" s="61">
        <v>20</v>
      </c>
      <c r="F44" s="61">
        <v>1</v>
      </c>
      <c r="G44" s="61">
        <v>2.5</v>
      </c>
      <c r="H44" s="61">
        <v>-9</v>
      </c>
      <c r="I44" s="61">
        <v>99</v>
      </c>
      <c r="J44" s="61">
        <v>104.8229</v>
      </c>
      <c r="K44" s="61">
        <v>2.0088599999999999</v>
      </c>
      <c r="L44" s="61">
        <v>-0.16245299999999999</v>
      </c>
      <c r="M44" s="62" t="s">
        <v>165</v>
      </c>
      <c r="N44" s="62">
        <f>VALUE(TRIM(SUBSTITUTE(E44,CHAR(160),CHAR(32))) )</f>
        <v>20</v>
      </c>
      <c r="O44" s="62"/>
      <c r="P44" s="62"/>
      <c r="Q44" s="62"/>
      <c r="R44" s="62"/>
      <c r="S44" s="62"/>
      <c r="T44" s="62"/>
      <c r="U44" s="62"/>
      <c r="V44" s="62"/>
    </row>
    <row r="45" spans="1:22" ht="12.75" customHeight="1" x14ac:dyDescent="0.25">
      <c r="A45" s="61">
        <v>301</v>
      </c>
      <c r="B45" s="62" t="s">
        <v>19</v>
      </c>
      <c r="C45" s="62" t="s">
        <v>112</v>
      </c>
      <c r="D45" s="61" t="s">
        <v>160</v>
      </c>
      <c r="E45" s="61">
        <v>13</v>
      </c>
      <c r="F45" s="61">
        <v>2.5</v>
      </c>
      <c r="G45" s="61">
        <v>6</v>
      </c>
      <c r="H45" s="61">
        <v>-9</v>
      </c>
      <c r="I45" s="61">
        <v>99</v>
      </c>
      <c r="J45" s="61">
        <v>107.81</v>
      </c>
      <c r="K45" s="61">
        <v>-0.17219999999999999</v>
      </c>
      <c r="L45" s="61">
        <v>-0.15129999999999999</v>
      </c>
      <c r="M45" s="62" t="s">
        <v>165</v>
      </c>
      <c r="N45" s="62"/>
      <c r="O45" s="62"/>
      <c r="P45" s="62"/>
      <c r="Q45" s="62"/>
      <c r="R45" s="62"/>
      <c r="S45" s="62"/>
      <c r="T45" s="62"/>
      <c r="U45" s="62"/>
      <c r="V45" s="62"/>
    </row>
    <row r="46" spans="1:22" ht="12.75" customHeight="1" x14ac:dyDescent="0.25">
      <c r="A46" s="61">
        <v>301</v>
      </c>
      <c r="B46" s="62" t="s">
        <v>19</v>
      </c>
      <c r="C46" s="62" t="s">
        <v>112</v>
      </c>
      <c r="D46" s="61" t="s">
        <v>160</v>
      </c>
      <c r="E46" s="61">
        <v>20</v>
      </c>
      <c r="F46" s="61">
        <v>6</v>
      </c>
      <c r="G46" s="61">
        <v>13</v>
      </c>
      <c r="H46" s="61">
        <v>-9</v>
      </c>
      <c r="I46" s="61">
        <v>99</v>
      </c>
      <c r="J46" s="61">
        <v>104.8229</v>
      </c>
      <c r="K46" s="61">
        <v>2.0088599999999999</v>
      </c>
      <c r="L46" s="61">
        <v>-0.16245299999999999</v>
      </c>
      <c r="M46" s="62" t="s">
        <v>165</v>
      </c>
      <c r="N46" s="62"/>
      <c r="O46" s="62"/>
      <c r="P46" s="62"/>
      <c r="Q46" s="62"/>
      <c r="R46" s="62"/>
      <c r="S46" s="62"/>
      <c r="T46" s="62"/>
      <c r="U46" s="62"/>
      <c r="V46" s="62"/>
    </row>
    <row r="47" spans="1:22" ht="12.75" customHeight="1" x14ac:dyDescent="0.25">
      <c r="A47" s="61">
        <v>401</v>
      </c>
      <c r="B47" s="62" t="s">
        <v>19</v>
      </c>
      <c r="C47" s="62" t="s">
        <v>110</v>
      </c>
      <c r="D47" s="61" t="s">
        <v>160</v>
      </c>
      <c r="E47" s="61">
        <v>17.5</v>
      </c>
      <c r="F47" s="61">
        <v>1</v>
      </c>
      <c r="G47" s="61">
        <v>2.5</v>
      </c>
      <c r="H47" s="61">
        <v>-9</v>
      </c>
      <c r="I47" s="61">
        <v>99</v>
      </c>
      <c r="J47" s="61">
        <v>105.345</v>
      </c>
      <c r="K47" s="61">
        <v>0.92390700000000003</v>
      </c>
      <c r="L47" s="61">
        <v>-0.13556000000000001</v>
      </c>
      <c r="M47" s="62" t="s">
        <v>166</v>
      </c>
      <c r="N47" s="62"/>
      <c r="O47" s="62"/>
      <c r="P47" s="62"/>
      <c r="Q47" s="62"/>
      <c r="R47" s="62"/>
      <c r="S47" s="62"/>
      <c r="T47" s="62"/>
      <c r="U47" s="62"/>
      <c r="V47" s="62"/>
    </row>
    <row r="48" spans="1:22" ht="12.75" customHeight="1" x14ac:dyDescent="0.25">
      <c r="A48" s="61">
        <v>401</v>
      </c>
      <c r="B48" s="62" t="s">
        <v>19</v>
      </c>
      <c r="C48" s="62" t="s">
        <v>110</v>
      </c>
      <c r="D48" s="61" t="s">
        <v>160</v>
      </c>
      <c r="E48" s="61">
        <v>13</v>
      </c>
      <c r="F48" s="61">
        <v>2.5</v>
      </c>
      <c r="G48" s="61">
        <v>6</v>
      </c>
      <c r="H48" s="61">
        <v>-9</v>
      </c>
      <c r="I48" s="61">
        <v>99</v>
      </c>
      <c r="J48" s="61">
        <v>107.81</v>
      </c>
      <c r="K48" s="61">
        <v>-0.17219999999999999</v>
      </c>
      <c r="L48" s="61">
        <v>-0.15129999999999999</v>
      </c>
      <c r="M48" s="62" t="s">
        <v>166</v>
      </c>
      <c r="N48" s="62"/>
      <c r="O48" s="62"/>
      <c r="P48" s="62"/>
      <c r="Q48" s="62"/>
      <c r="R48" s="62"/>
      <c r="S48" s="62"/>
      <c r="T48" s="62"/>
      <c r="U48" s="62"/>
      <c r="V48" s="62"/>
    </row>
    <row r="49" spans="1:22" ht="12.75" customHeight="1" x14ac:dyDescent="0.25">
      <c r="A49" s="61">
        <v>401</v>
      </c>
      <c r="B49" s="62" t="s">
        <v>19</v>
      </c>
      <c r="C49" s="62" t="s">
        <v>110</v>
      </c>
      <c r="D49" s="61" t="s">
        <v>160</v>
      </c>
      <c r="E49" s="61">
        <v>17.5</v>
      </c>
      <c r="F49" s="61">
        <v>6</v>
      </c>
      <c r="G49" s="61">
        <v>13</v>
      </c>
      <c r="H49" s="61">
        <v>-9</v>
      </c>
      <c r="I49" s="61">
        <v>99</v>
      </c>
      <c r="J49" s="61">
        <v>105.345</v>
      </c>
      <c r="K49" s="61">
        <v>0.92390700000000003</v>
      </c>
      <c r="L49" s="61">
        <v>-0.13556000000000001</v>
      </c>
      <c r="M49" s="62" t="s">
        <v>166</v>
      </c>
      <c r="N49" s="62"/>
      <c r="O49" s="62"/>
      <c r="P49" s="62"/>
      <c r="Q49" s="62"/>
      <c r="R49" s="62"/>
      <c r="S49" s="62"/>
      <c r="T49" s="62"/>
      <c r="U49" s="62"/>
      <c r="V49" s="62"/>
    </row>
    <row r="50" spans="1:22" ht="12.75" customHeight="1" x14ac:dyDescent="0.25">
      <c r="A50" s="61">
        <v>402</v>
      </c>
      <c r="B50" s="62" t="s">
        <v>19</v>
      </c>
      <c r="C50" s="62" t="s">
        <v>110</v>
      </c>
      <c r="D50" s="61" t="s">
        <v>160</v>
      </c>
      <c r="E50" s="61">
        <v>17.5</v>
      </c>
      <c r="F50" s="61">
        <v>1</v>
      </c>
      <c r="G50" s="61">
        <v>2.5</v>
      </c>
      <c r="H50" s="61">
        <v>-9</v>
      </c>
      <c r="I50" s="61">
        <v>99</v>
      </c>
      <c r="J50" s="61">
        <v>105.345</v>
      </c>
      <c r="K50" s="61">
        <v>0.92390700000000003</v>
      </c>
      <c r="L50" s="61">
        <v>-0.13556000000000001</v>
      </c>
      <c r="M50" s="62" t="s">
        <v>166</v>
      </c>
      <c r="N50" s="62"/>
      <c r="O50" s="62"/>
      <c r="P50" s="62"/>
      <c r="Q50" s="62"/>
      <c r="R50" s="62"/>
      <c r="S50" s="62"/>
      <c r="T50" s="62"/>
      <c r="U50" s="62"/>
      <c r="V50" s="62"/>
    </row>
    <row r="51" spans="1:22" ht="12.75" customHeight="1" x14ac:dyDescent="0.25">
      <c r="A51" s="61">
        <v>402</v>
      </c>
      <c r="B51" s="62" t="s">
        <v>19</v>
      </c>
      <c r="C51" s="62" t="s">
        <v>110</v>
      </c>
      <c r="D51" s="61" t="s">
        <v>160</v>
      </c>
      <c r="E51" s="61">
        <v>13</v>
      </c>
      <c r="F51" s="61">
        <v>2.5</v>
      </c>
      <c r="G51" s="61">
        <v>6.5</v>
      </c>
      <c r="H51" s="61">
        <v>-9</v>
      </c>
      <c r="I51" s="61">
        <v>99</v>
      </c>
      <c r="J51" s="61">
        <v>107.81</v>
      </c>
      <c r="K51" s="61">
        <v>-0.17219999999999999</v>
      </c>
      <c r="L51" s="61">
        <v>-0.15129999999999999</v>
      </c>
      <c r="M51" s="62" t="s">
        <v>166</v>
      </c>
      <c r="N51" s="62"/>
      <c r="O51" s="62"/>
      <c r="P51" s="62"/>
      <c r="Q51" s="62"/>
      <c r="R51" s="62"/>
      <c r="S51" s="62"/>
      <c r="T51" s="62"/>
      <c r="U51" s="62"/>
      <c r="V51" s="62"/>
    </row>
    <row r="52" spans="1:22" ht="12.75" customHeight="1" x14ac:dyDescent="0.25">
      <c r="A52" s="61">
        <v>402</v>
      </c>
      <c r="B52" s="62" t="s">
        <v>19</v>
      </c>
      <c r="C52" s="62" t="s">
        <v>110</v>
      </c>
      <c r="D52" s="61" t="s">
        <v>160</v>
      </c>
      <c r="E52" s="61">
        <v>17.5</v>
      </c>
      <c r="F52" s="61">
        <v>6.5</v>
      </c>
      <c r="G52" s="61">
        <v>13</v>
      </c>
      <c r="H52" s="61">
        <v>-9</v>
      </c>
      <c r="I52" s="61">
        <v>99</v>
      </c>
      <c r="J52" s="61">
        <v>105.345</v>
      </c>
      <c r="K52" s="61">
        <v>0.92390700000000003</v>
      </c>
      <c r="L52" s="61">
        <v>-0.13556000000000001</v>
      </c>
      <c r="M52" s="62" t="s">
        <v>166</v>
      </c>
      <c r="N52" s="62"/>
      <c r="O52" s="62"/>
      <c r="P52" s="62"/>
      <c r="Q52" s="62"/>
      <c r="R52" s="62"/>
      <c r="S52" s="62"/>
      <c r="T52" s="62"/>
      <c r="U52" s="62"/>
      <c r="V52" s="62"/>
    </row>
    <row r="53" spans="1:22" ht="12.75" customHeight="1" x14ac:dyDescent="0.25">
      <c r="A53" s="61">
        <v>403</v>
      </c>
      <c r="B53" s="62" t="s">
        <v>19</v>
      </c>
      <c r="C53" s="62" t="s">
        <v>110</v>
      </c>
      <c r="D53" s="61" t="s">
        <v>160</v>
      </c>
      <c r="E53" s="61">
        <v>17.5</v>
      </c>
      <c r="F53" s="61">
        <v>1</v>
      </c>
      <c r="G53" s="61">
        <v>2.5</v>
      </c>
      <c r="H53" s="61">
        <v>-9</v>
      </c>
      <c r="I53" s="61">
        <v>99</v>
      </c>
      <c r="J53" s="61">
        <v>105.345</v>
      </c>
      <c r="K53" s="61">
        <v>0.92390700000000003</v>
      </c>
      <c r="L53" s="61">
        <v>-0.13556000000000001</v>
      </c>
      <c r="M53" s="62" t="s">
        <v>166</v>
      </c>
      <c r="N53" s="62"/>
      <c r="O53" s="62"/>
      <c r="P53" s="62"/>
      <c r="Q53" s="62"/>
      <c r="R53" s="62"/>
      <c r="S53" s="62"/>
      <c r="T53" s="62"/>
      <c r="U53" s="62"/>
      <c r="V53" s="62"/>
    </row>
    <row r="54" spans="1:22" ht="12.75" customHeight="1" x14ac:dyDescent="0.25">
      <c r="A54" s="61">
        <v>403</v>
      </c>
      <c r="B54" s="62" t="s">
        <v>19</v>
      </c>
      <c r="C54" s="62" t="s">
        <v>110</v>
      </c>
      <c r="D54" s="61" t="s">
        <v>160</v>
      </c>
      <c r="E54" s="61">
        <v>13</v>
      </c>
      <c r="F54" s="61">
        <v>2.5</v>
      </c>
      <c r="G54" s="61">
        <v>7</v>
      </c>
      <c r="H54" s="61">
        <v>-9</v>
      </c>
      <c r="I54" s="61">
        <v>99</v>
      </c>
      <c r="J54" s="61">
        <v>107.81</v>
      </c>
      <c r="K54" s="61">
        <v>-0.17219999999999999</v>
      </c>
      <c r="L54" s="61">
        <v>-0.15129999999999999</v>
      </c>
      <c r="M54" s="62" t="s">
        <v>166</v>
      </c>
      <c r="N54" s="62"/>
      <c r="O54" s="62"/>
      <c r="P54" s="62"/>
      <c r="Q54" s="62"/>
      <c r="R54" s="62"/>
      <c r="S54" s="62"/>
      <c r="T54" s="62"/>
      <c r="U54" s="62"/>
      <c r="V54" s="62"/>
    </row>
    <row r="55" spans="1:22" ht="12.75" customHeight="1" x14ac:dyDescent="0.25">
      <c r="A55" s="61">
        <v>403</v>
      </c>
      <c r="B55" s="62" t="s">
        <v>19</v>
      </c>
      <c r="C55" s="62" t="s">
        <v>110</v>
      </c>
      <c r="D55" s="61" t="s">
        <v>160</v>
      </c>
      <c r="E55" s="61">
        <v>17.5</v>
      </c>
      <c r="F55" s="61">
        <v>7</v>
      </c>
      <c r="G55" s="61">
        <v>13</v>
      </c>
      <c r="H55" s="61">
        <v>-9</v>
      </c>
      <c r="I55" s="61">
        <v>99</v>
      </c>
      <c r="J55" s="61">
        <v>105.345</v>
      </c>
      <c r="K55" s="61">
        <v>0.92390700000000003</v>
      </c>
      <c r="L55" s="61">
        <v>-0.13556000000000001</v>
      </c>
      <c r="M55" s="62" t="s">
        <v>166</v>
      </c>
      <c r="N55" s="62"/>
      <c r="O55" s="62"/>
      <c r="P55" s="62"/>
      <c r="Q55" s="62"/>
      <c r="R55" s="62"/>
      <c r="S55" s="62"/>
      <c r="T55" s="62"/>
      <c r="U55" s="62"/>
      <c r="V55" s="62"/>
    </row>
    <row r="56" spans="1:22" ht="12.75" customHeight="1" x14ac:dyDescent="0.25">
      <c r="A56" s="61">
        <v>404</v>
      </c>
      <c r="B56" s="62" t="s">
        <v>19</v>
      </c>
      <c r="C56" s="62" t="s">
        <v>110</v>
      </c>
      <c r="D56" s="61" t="s">
        <v>160</v>
      </c>
      <c r="E56" s="61">
        <v>13</v>
      </c>
      <c r="F56" s="61">
        <v>1</v>
      </c>
      <c r="G56" s="61">
        <v>5.5</v>
      </c>
      <c r="H56" s="61">
        <v>-9</v>
      </c>
      <c r="I56" s="61">
        <v>99</v>
      </c>
      <c r="J56" s="61">
        <v>107.81</v>
      </c>
      <c r="K56" s="61">
        <v>-0.17219999999999999</v>
      </c>
      <c r="L56" s="61">
        <v>-0.15129999999999999</v>
      </c>
      <c r="M56" s="62" t="s">
        <v>166</v>
      </c>
      <c r="N56" s="62"/>
      <c r="O56" s="62"/>
      <c r="P56" s="62"/>
      <c r="Q56" s="62"/>
      <c r="R56" s="62"/>
      <c r="S56" s="62"/>
      <c r="T56" s="62"/>
      <c r="U56" s="62"/>
      <c r="V56" s="62"/>
    </row>
    <row r="57" spans="1:22" ht="12.75" customHeight="1" x14ac:dyDescent="0.25">
      <c r="A57" s="61">
        <v>404</v>
      </c>
      <c r="B57" s="62" t="s">
        <v>19</v>
      </c>
      <c r="C57" s="62" t="s">
        <v>110</v>
      </c>
      <c r="D57" s="61" t="s">
        <v>160</v>
      </c>
      <c r="E57" s="61">
        <v>17.5</v>
      </c>
      <c r="F57" s="61">
        <v>5.5</v>
      </c>
      <c r="G57" s="61">
        <v>8.5</v>
      </c>
      <c r="H57" s="61">
        <v>-9</v>
      </c>
      <c r="I57" s="61">
        <v>99</v>
      </c>
      <c r="J57" s="61">
        <v>105.345</v>
      </c>
      <c r="K57" s="61">
        <v>0.92390700000000003</v>
      </c>
      <c r="L57" s="61">
        <v>-0.13556000000000001</v>
      </c>
      <c r="M57" s="62" t="s">
        <v>166</v>
      </c>
      <c r="N57" s="62"/>
      <c r="O57" s="62"/>
      <c r="P57" s="62"/>
      <c r="Q57" s="62"/>
      <c r="R57" s="62"/>
      <c r="S57" s="62"/>
      <c r="T57" s="62"/>
      <c r="U57" s="62"/>
      <c r="V57" s="62"/>
    </row>
    <row r="58" spans="1:22" ht="12.75" customHeight="1" x14ac:dyDescent="0.25">
      <c r="A58" s="61">
        <v>404</v>
      </c>
      <c r="B58" s="62" t="s">
        <v>19</v>
      </c>
      <c r="C58" s="62" t="s">
        <v>110</v>
      </c>
      <c r="D58" s="61" t="s">
        <v>160</v>
      </c>
      <c r="E58" s="61">
        <v>13</v>
      </c>
      <c r="F58" s="61">
        <v>8.5</v>
      </c>
      <c r="G58" s="61">
        <v>13</v>
      </c>
      <c r="H58" s="61">
        <v>-9</v>
      </c>
      <c r="I58" s="61">
        <v>99</v>
      </c>
      <c r="J58" s="61">
        <v>107.81</v>
      </c>
      <c r="K58" s="61">
        <v>-0.17219999999999999</v>
      </c>
      <c r="L58" s="61">
        <v>-0.15129999999999999</v>
      </c>
      <c r="M58" s="62" t="s">
        <v>166</v>
      </c>
      <c r="N58" s="62"/>
      <c r="O58" s="62"/>
      <c r="P58" s="62"/>
      <c r="Q58" s="62"/>
      <c r="R58" s="62"/>
      <c r="S58" s="62"/>
      <c r="T58" s="62"/>
      <c r="U58" s="62"/>
      <c r="V58" s="62"/>
    </row>
    <row r="59" spans="1:22" ht="12.75" customHeight="1" x14ac:dyDescent="0.25">
      <c r="A59" s="61">
        <v>405</v>
      </c>
      <c r="B59" s="62" t="s">
        <v>19</v>
      </c>
      <c r="C59" s="62" t="s">
        <v>110</v>
      </c>
      <c r="D59" s="61" t="s">
        <v>160</v>
      </c>
      <c r="E59" s="61">
        <v>13</v>
      </c>
      <c r="F59" s="61">
        <v>1</v>
      </c>
      <c r="G59" s="61">
        <v>5.5</v>
      </c>
      <c r="H59" s="61">
        <v>-9</v>
      </c>
      <c r="I59" s="61">
        <v>99</v>
      </c>
      <c r="J59" s="61">
        <v>107.81</v>
      </c>
      <c r="K59" s="61">
        <v>-0.17219999999999999</v>
      </c>
      <c r="L59" s="61">
        <v>-0.15129999999999999</v>
      </c>
      <c r="M59" s="62" t="s">
        <v>166</v>
      </c>
      <c r="N59" s="62"/>
      <c r="O59" s="62"/>
      <c r="P59" s="62"/>
      <c r="Q59" s="62"/>
      <c r="R59" s="62"/>
      <c r="S59" s="62"/>
      <c r="T59" s="62"/>
      <c r="U59" s="62"/>
      <c r="V59" s="62"/>
    </row>
    <row r="60" spans="1:22" ht="12.75" customHeight="1" x14ac:dyDescent="0.25">
      <c r="A60" s="61">
        <v>405</v>
      </c>
      <c r="B60" s="62" t="s">
        <v>19</v>
      </c>
      <c r="C60" s="62" t="s">
        <v>110</v>
      </c>
      <c r="D60" s="61" t="s">
        <v>160</v>
      </c>
      <c r="E60" s="61">
        <v>17.5</v>
      </c>
      <c r="F60" s="61">
        <v>5.5</v>
      </c>
      <c r="G60" s="61">
        <v>9</v>
      </c>
      <c r="H60" s="61">
        <v>-9</v>
      </c>
      <c r="I60" s="61">
        <v>99</v>
      </c>
      <c r="J60" s="61">
        <v>105.345</v>
      </c>
      <c r="K60" s="61">
        <v>0.92390700000000003</v>
      </c>
      <c r="L60" s="61">
        <v>-0.13556000000000001</v>
      </c>
      <c r="M60" s="62" t="s">
        <v>166</v>
      </c>
      <c r="N60" s="62"/>
      <c r="O60" s="62"/>
      <c r="P60" s="62"/>
      <c r="Q60" s="62"/>
      <c r="R60" s="62"/>
      <c r="S60" s="62"/>
      <c r="T60" s="62"/>
      <c r="U60" s="62"/>
      <c r="V60" s="62"/>
    </row>
    <row r="61" spans="1:22" ht="12.75" customHeight="1" x14ac:dyDescent="0.25">
      <c r="A61" s="61">
        <v>405</v>
      </c>
      <c r="B61" s="62" t="s">
        <v>19</v>
      </c>
      <c r="C61" s="62" t="s">
        <v>110</v>
      </c>
      <c r="D61" s="61" t="s">
        <v>160</v>
      </c>
      <c r="E61" s="61">
        <v>13</v>
      </c>
      <c r="F61" s="61">
        <v>9</v>
      </c>
      <c r="G61" s="61">
        <v>13</v>
      </c>
      <c r="H61" s="61">
        <v>-9</v>
      </c>
      <c r="I61" s="61">
        <v>99</v>
      </c>
      <c r="J61" s="61">
        <v>107.81</v>
      </c>
      <c r="K61" s="61">
        <v>-0.17219999999999999</v>
      </c>
      <c r="L61" s="61">
        <v>-0.15129999999999999</v>
      </c>
      <c r="M61" s="62" t="s">
        <v>166</v>
      </c>
      <c r="N61" s="62"/>
      <c r="O61" s="62"/>
      <c r="P61" s="62"/>
      <c r="Q61" s="62"/>
      <c r="R61" s="62"/>
      <c r="S61" s="62"/>
      <c r="T61" s="62"/>
      <c r="U61" s="62"/>
      <c r="V61" s="62"/>
    </row>
    <row r="62" spans="1:22" ht="12.75" customHeight="1" x14ac:dyDescent="0.25">
      <c r="A62" s="61">
        <v>406</v>
      </c>
      <c r="B62" s="62" t="s">
        <v>19</v>
      </c>
      <c r="C62" s="62" t="s">
        <v>110</v>
      </c>
      <c r="D62" s="61" t="s">
        <v>160</v>
      </c>
      <c r="E62" s="61">
        <v>13</v>
      </c>
      <c r="F62" s="61">
        <v>1</v>
      </c>
      <c r="G62" s="61">
        <v>5.5</v>
      </c>
      <c r="H62" s="61">
        <v>-9</v>
      </c>
      <c r="I62" s="61">
        <v>99</v>
      </c>
      <c r="J62" s="61">
        <v>107.81</v>
      </c>
      <c r="K62" s="61">
        <v>-0.17219999999999999</v>
      </c>
      <c r="L62" s="61">
        <v>-0.15129999999999999</v>
      </c>
      <c r="M62" s="62" t="s">
        <v>166</v>
      </c>
      <c r="N62" s="62"/>
      <c r="O62" s="62"/>
      <c r="P62" s="62"/>
      <c r="Q62" s="62"/>
      <c r="R62" s="62"/>
      <c r="S62" s="62"/>
      <c r="T62" s="62"/>
      <c r="U62" s="62"/>
      <c r="V62" s="62"/>
    </row>
    <row r="63" spans="1:22" ht="12.75" customHeight="1" x14ac:dyDescent="0.25">
      <c r="A63" s="61">
        <v>406</v>
      </c>
      <c r="B63" s="62" t="s">
        <v>19</v>
      </c>
      <c r="C63" s="62" t="s">
        <v>110</v>
      </c>
      <c r="D63" s="61" t="s">
        <v>160</v>
      </c>
      <c r="E63" s="61">
        <v>17.5</v>
      </c>
      <c r="F63" s="61">
        <v>5.5</v>
      </c>
      <c r="G63" s="61">
        <v>9.5</v>
      </c>
      <c r="H63" s="61">
        <v>-9</v>
      </c>
      <c r="I63" s="61">
        <v>99</v>
      </c>
      <c r="J63" s="61">
        <v>105.345</v>
      </c>
      <c r="K63" s="61">
        <v>0.92390700000000003</v>
      </c>
      <c r="L63" s="61">
        <v>-0.13556000000000001</v>
      </c>
      <c r="M63" s="62" t="s">
        <v>166</v>
      </c>
      <c r="N63" s="62"/>
      <c r="O63" s="62"/>
      <c r="P63" s="62"/>
      <c r="Q63" s="62"/>
      <c r="R63" s="62"/>
      <c r="S63" s="62"/>
      <c r="T63" s="62"/>
      <c r="U63" s="62"/>
      <c r="V63" s="62"/>
    </row>
    <row r="64" spans="1:22" ht="12.75" customHeight="1" x14ac:dyDescent="0.25">
      <c r="A64" s="61">
        <v>406</v>
      </c>
      <c r="B64" s="62" t="s">
        <v>19</v>
      </c>
      <c r="C64" s="62" t="s">
        <v>110</v>
      </c>
      <c r="D64" s="61" t="s">
        <v>160</v>
      </c>
      <c r="E64" s="61">
        <v>13</v>
      </c>
      <c r="F64" s="61">
        <v>9.5</v>
      </c>
      <c r="G64" s="61">
        <v>13</v>
      </c>
      <c r="H64" s="61">
        <v>-9</v>
      </c>
      <c r="I64" s="61">
        <v>99</v>
      </c>
      <c r="J64" s="61">
        <v>107.81</v>
      </c>
      <c r="K64" s="61">
        <v>-0.17219999999999999</v>
      </c>
      <c r="L64" s="61">
        <v>-0.15129999999999999</v>
      </c>
      <c r="M64" s="62" t="s">
        <v>166</v>
      </c>
      <c r="N64" s="62"/>
      <c r="O64" s="62"/>
      <c r="P64" s="62"/>
      <c r="Q64" s="62"/>
      <c r="R64" s="62"/>
      <c r="S64" s="62"/>
      <c r="T64" s="62"/>
      <c r="U64" s="62"/>
      <c r="V64" s="62"/>
    </row>
    <row r="65" spans="1:22" ht="12.75" customHeight="1" x14ac:dyDescent="0.25">
      <c r="A65" s="61">
        <v>407</v>
      </c>
      <c r="B65" s="62" t="s">
        <v>19</v>
      </c>
      <c r="C65" s="62" t="s">
        <v>110</v>
      </c>
      <c r="D65" s="61" t="s">
        <v>160</v>
      </c>
      <c r="E65" s="61">
        <v>13</v>
      </c>
      <c r="F65" s="61">
        <v>1</v>
      </c>
      <c r="G65" s="61">
        <v>5.5</v>
      </c>
      <c r="H65" s="61">
        <v>-9</v>
      </c>
      <c r="I65" s="61">
        <v>99</v>
      </c>
      <c r="J65" s="61">
        <v>107.81</v>
      </c>
      <c r="K65" s="61">
        <v>-0.17219999999999999</v>
      </c>
      <c r="L65" s="61">
        <v>-0.15129999999999999</v>
      </c>
      <c r="M65" s="62" t="s">
        <v>166</v>
      </c>
      <c r="N65" s="62"/>
      <c r="O65" s="62"/>
      <c r="P65" s="62"/>
      <c r="Q65" s="62"/>
      <c r="R65" s="62"/>
      <c r="S65" s="62"/>
      <c r="T65" s="62"/>
      <c r="U65" s="62"/>
      <c r="V65" s="62"/>
    </row>
    <row r="66" spans="1:22" ht="12.75" customHeight="1" x14ac:dyDescent="0.25">
      <c r="A66" s="61">
        <v>407</v>
      </c>
      <c r="B66" s="62" t="s">
        <v>19</v>
      </c>
      <c r="C66" s="62" t="s">
        <v>110</v>
      </c>
      <c r="D66" s="61" t="s">
        <v>160</v>
      </c>
      <c r="E66" s="61">
        <v>17.5</v>
      </c>
      <c r="F66" s="61">
        <v>5.5</v>
      </c>
      <c r="G66" s="61">
        <v>10</v>
      </c>
      <c r="H66" s="61">
        <v>-9</v>
      </c>
      <c r="I66" s="61">
        <v>99</v>
      </c>
      <c r="J66" s="61">
        <v>105.345</v>
      </c>
      <c r="K66" s="61">
        <v>0.92390700000000003</v>
      </c>
      <c r="L66" s="61">
        <v>-0.13556000000000001</v>
      </c>
      <c r="M66" s="62" t="s">
        <v>166</v>
      </c>
      <c r="N66" s="62"/>
      <c r="O66" s="62"/>
      <c r="P66" s="62"/>
      <c r="Q66" s="62"/>
      <c r="R66" s="62"/>
      <c r="S66" s="62"/>
      <c r="T66" s="62"/>
      <c r="U66" s="62"/>
      <c r="V66" s="62"/>
    </row>
    <row r="67" spans="1:22" ht="12.75" customHeight="1" x14ac:dyDescent="0.25">
      <c r="A67" s="61">
        <v>407</v>
      </c>
      <c r="B67" s="62" t="s">
        <v>19</v>
      </c>
      <c r="C67" s="62" t="s">
        <v>110</v>
      </c>
      <c r="D67" s="61" t="s">
        <v>160</v>
      </c>
      <c r="E67" s="61">
        <v>13</v>
      </c>
      <c r="F67" s="61">
        <v>10</v>
      </c>
      <c r="G67" s="61">
        <v>13</v>
      </c>
      <c r="H67" s="61">
        <v>-9</v>
      </c>
      <c r="I67" s="61">
        <v>99</v>
      </c>
      <c r="J67" s="61">
        <v>107.81</v>
      </c>
      <c r="K67" s="61">
        <v>-0.17219999999999999</v>
      </c>
      <c r="L67" s="61">
        <v>-0.15129999999999999</v>
      </c>
      <c r="M67" s="62" t="s">
        <v>166</v>
      </c>
      <c r="N67" s="62"/>
      <c r="O67" s="62"/>
      <c r="P67" s="62"/>
      <c r="Q67" s="62"/>
      <c r="R67" s="62"/>
      <c r="S67" s="62"/>
      <c r="T67" s="62"/>
      <c r="U67" s="62"/>
      <c r="V67" s="62"/>
    </row>
    <row r="68" spans="1:22" ht="12.75" customHeight="1" x14ac:dyDescent="0.25">
      <c r="A68" s="61">
        <v>408</v>
      </c>
      <c r="B68" s="62" t="s">
        <v>19</v>
      </c>
      <c r="C68" s="62" t="s">
        <v>110</v>
      </c>
      <c r="D68" s="61" t="s">
        <v>160</v>
      </c>
      <c r="E68" s="61">
        <v>13</v>
      </c>
      <c r="F68" s="61">
        <v>1</v>
      </c>
      <c r="G68" s="61">
        <v>6.5</v>
      </c>
      <c r="H68" s="61">
        <v>-9</v>
      </c>
      <c r="I68" s="61">
        <v>99</v>
      </c>
      <c r="J68" s="61">
        <v>107.81</v>
      </c>
      <c r="K68" s="61">
        <v>-0.17219999999999999</v>
      </c>
      <c r="L68" s="61">
        <v>-0.15129999999999999</v>
      </c>
      <c r="M68" s="62" t="s">
        <v>166</v>
      </c>
      <c r="N68" s="62"/>
      <c r="O68" s="62"/>
      <c r="P68" s="62"/>
      <c r="Q68" s="62"/>
      <c r="R68" s="62"/>
      <c r="S68" s="62"/>
      <c r="T68" s="62"/>
      <c r="U68" s="62"/>
      <c r="V68" s="62"/>
    </row>
    <row r="69" spans="1:22" ht="12.75" customHeight="1" x14ac:dyDescent="0.25">
      <c r="A69" s="61">
        <v>408</v>
      </c>
      <c r="B69" s="62" t="s">
        <v>19</v>
      </c>
      <c r="C69" s="62" t="s">
        <v>110</v>
      </c>
      <c r="D69" s="61" t="s">
        <v>160</v>
      </c>
      <c r="E69" s="61">
        <v>17.5</v>
      </c>
      <c r="F69" s="61">
        <v>6.5</v>
      </c>
      <c r="G69" s="61">
        <v>8</v>
      </c>
      <c r="H69" s="61">
        <v>-9</v>
      </c>
      <c r="I69" s="61">
        <v>99</v>
      </c>
      <c r="J69" s="61">
        <v>105.345</v>
      </c>
      <c r="K69" s="61">
        <v>0.92390700000000003</v>
      </c>
      <c r="L69" s="61">
        <v>-0.13556000000000001</v>
      </c>
      <c r="M69" s="62" t="s">
        <v>166</v>
      </c>
      <c r="N69" s="62"/>
      <c r="O69" s="62"/>
      <c r="P69" s="62"/>
      <c r="Q69" s="62"/>
      <c r="R69" s="62"/>
      <c r="S69" s="62"/>
      <c r="T69" s="62"/>
      <c r="U69" s="62"/>
      <c r="V69" s="62"/>
    </row>
    <row r="70" spans="1:22" ht="12.75" customHeight="1" x14ac:dyDescent="0.25">
      <c r="A70" s="61">
        <v>408</v>
      </c>
      <c r="B70" s="62" t="s">
        <v>19</v>
      </c>
      <c r="C70" s="62" t="s">
        <v>110</v>
      </c>
      <c r="D70" s="61" t="s">
        <v>160</v>
      </c>
      <c r="E70" s="61">
        <v>13</v>
      </c>
      <c r="F70" s="61">
        <v>8</v>
      </c>
      <c r="G70" s="61">
        <v>13</v>
      </c>
      <c r="H70" s="61">
        <v>-9</v>
      </c>
      <c r="I70" s="61">
        <v>99</v>
      </c>
      <c r="J70" s="61">
        <v>107.81</v>
      </c>
      <c r="K70" s="61">
        <v>-0.17219999999999999</v>
      </c>
      <c r="L70" s="61">
        <v>-0.15129999999999999</v>
      </c>
      <c r="M70" s="62" t="s">
        <v>166</v>
      </c>
      <c r="N70" s="62"/>
      <c r="O70" s="62"/>
      <c r="P70" s="62"/>
      <c r="Q70" s="62"/>
      <c r="R70" s="62"/>
      <c r="S70" s="62"/>
      <c r="T70" s="62"/>
      <c r="U70" s="62"/>
      <c r="V70" s="62"/>
    </row>
    <row r="71" spans="1:22" ht="12.75" customHeight="1" x14ac:dyDescent="0.25">
      <c r="A71" s="61">
        <v>409</v>
      </c>
      <c r="B71" s="62" t="s">
        <v>19</v>
      </c>
      <c r="C71" s="62" t="s">
        <v>110</v>
      </c>
      <c r="D71" s="61" t="s">
        <v>160</v>
      </c>
      <c r="E71" s="61">
        <v>13</v>
      </c>
      <c r="F71" s="61">
        <v>1</v>
      </c>
      <c r="G71" s="61">
        <v>6.5</v>
      </c>
      <c r="H71" s="61">
        <v>-9</v>
      </c>
      <c r="I71" s="61">
        <v>99</v>
      </c>
      <c r="J71" s="61">
        <v>107.81</v>
      </c>
      <c r="K71" s="61">
        <v>-0.17219999999999999</v>
      </c>
      <c r="L71" s="61">
        <v>-0.15129999999999999</v>
      </c>
      <c r="M71" s="62" t="s">
        <v>166</v>
      </c>
      <c r="N71" s="62"/>
      <c r="O71" s="62"/>
      <c r="P71" s="62"/>
      <c r="Q71" s="62"/>
      <c r="R71" s="62"/>
      <c r="S71" s="62"/>
      <c r="T71" s="62"/>
      <c r="U71" s="62"/>
      <c r="V71" s="62"/>
    </row>
    <row r="72" spans="1:22" ht="12.75" customHeight="1" x14ac:dyDescent="0.25">
      <c r="A72" s="61">
        <v>409</v>
      </c>
      <c r="B72" s="62" t="s">
        <v>19</v>
      </c>
      <c r="C72" s="62" t="s">
        <v>110</v>
      </c>
      <c r="D72" s="61" t="s">
        <v>160</v>
      </c>
      <c r="E72" s="61">
        <v>17.5</v>
      </c>
      <c r="F72" s="61">
        <v>6.5</v>
      </c>
      <c r="G72" s="61">
        <v>8.5</v>
      </c>
      <c r="H72" s="61">
        <v>-9</v>
      </c>
      <c r="I72" s="61">
        <v>99</v>
      </c>
      <c r="J72" s="61">
        <v>105.345</v>
      </c>
      <c r="K72" s="61">
        <v>0.92390700000000003</v>
      </c>
      <c r="L72" s="61">
        <v>-0.13556000000000001</v>
      </c>
      <c r="M72" s="62" t="s">
        <v>166</v>
      </c>
      <c r="N72" s="62"/>
      <c r="O72" s="62"/>
      <c r="P72" s="62"/>
      <c r="Q72" s="62"/>
      <c r="R72" s="62"/>
      <c r="S72" s="62"/>
      <c r="T72" s="62"/>
      <c r="U72" s="62"/>
      <c r="V72" s="62"/>
    </row>
    <row r="73" spans="1:22" ht="12.75" customHeight="1" x14ac:dyDescent="0.25">
      <c r="A73" s="61">
        <v>409</v>
      </c>
      <c r="B73" s="62" t="s">
        <v>19</v>
      </c>
      <c r="C73" s="62" t="s">
        <v>110</v>
      </c>
      <c r="D73" s="61" t="s">
        <v>160</v>
      </c>
      <c r="E73" s="61">
        <v>13</v>
      </c>
      <c r="F73" s="61">
        <v>8.5</v>
      </c>
      <c r="G73" s="61">
        <v>13</v>
      </c>
      <c r="H73" s="61">
        <v>-9</v>
      </c>
      <c r="I73" s="61">
        <v>99</v>
      </c>
      <c r="J73" s="61">
        <v>107.81</v>
      </c>
      <c r="K73" s="61">
        <v>-0.17219999999999999</v>
      </c>
      <c r="L73" s="61">
        <v>-0.15129999999999999</v>
      </c>
      <c r="M73" s="62" t="s">
        <v>166</v>
      </c>
      <c r="N73" s="62"/>
      <c r="O73" s="62"/>
      <c r="P73" s="62"/>
      <c r="Q73" s="62"/>
      <c r="R73" s="62"/>
      <c r="S73" s="62"/>
      <c r="T73" s="62"/>
      <c r="U73" s="62"/>
      <c r="V73" s="62"/>
    </row>
    <row r="74" spans="1:22" ht="12.75" customHeight="1" x14ac:dyDescent="0.25">
      <c r="A74" s="61">
        <v>410</v>
      </c>
      <c r="B74" s="62" t="s">
        <v>19</v>
      </c>
      <c r="C74" s="62" t="s">
        <v>110</v>
      </c>
      <c r="D74" s="61" t="s">
        <v>160</v>
      </c>
      <c r="E74" s="61">
        <v>13</v>
      </c>
      <c r="F74" s="61">
        <v>1</v>
      </c>
      <c r="G74" s="61">
        <v>6.5</v>
      </c>
      <c r="H74" s="61">
        <v>-9</v>
      </c>
      <c r="I74" s="61">
        <v>99</v>
      </c>
      <c r="J74" s="61">
        <v>107.81</v>
      </c>
      <c r="K74" s="61">
        <v>-0.17219999999999999</v>
      </c>
      <c r="L74" s="61">
        <v>-0.15129999999999999</v>
      </c>
      <c r="M74" s="62" t="s">
        <v>166</v>
      </c>
      <c r="N74" s="62"/>
      <c r="O74" s="62"/>
      <c r="P74" s="62"/>
      <c r="Q74" s="62"/>
      <c r="R74" s="62"/>
      <c r="S74" s="62"/>
      <c r="T74" s="62"/>
      <c r="U74" s="62"/>
      <c r="V74" s="62"/>
    </row>
    <row r="75" spans="1:22" ht="12.75" customHeight="1" x14ac:dyDescent="0.25">
      <c r="A75" s="61">
        <v>410</v>
      </c>
      <c r="B75" s="62" t="s">
        <v>19</v>
      </c>
      <c r="C75" s="62" t="s">
        <v>110</v>
      </c>
      <c r="D75" s="61" t="s">
        <v>160</v>
      </c>
      <c r="E75" s="61">
        <v>17.5</v>
      </c>
      <c r="F75" s="61">
        <v>6.5</v>
      </c>
      <c r="G75" s="61">
        <v>9</v>
      </c>
      <c r="H75" s="61">
        <v>-9</v>
      </c>
      <c r="I75" s="61">
        <v>99</v>
      </c>
      <c r="J75" s="61">
        <v>105.345</v>
      </c>
      <c r="K75" s="61">
        <v>0.92390700000000003</v>
      </c>
      <c r="L75" s="61">
        <v>-0.13556000000000001</v>
      </c>
      <c r="M75" s="62" t="s">
        <v>166</v>
      </c>
      <c r="N75" s="62"/>
      <c r="O75" s="62"/>
      <c r="P75" s="62"/>
      <c r="Q75" s="62"/>
      <c r="R75" s="62"/>
      <c r="S75" s="62"/>
      <c r="T75" s="62"/>
      <c r="U75" s="62"/>
      <c r="V75" s="62"/>
    </row>
    <row r="76" spans="1:22" ht="12.75" customHeight="1" x14ac:dyDescent="0.25">
      <c r="A76" s="61">
        <v>410</v>
      </c>
      <c r="B76" s="62" t="s">
        <v>19</v>
      </c>
      <c r="C76" s="62" t="s">
        <v>110</v>
      </c>
      <c r="D76" s="61" t="s">
        <v>160</v>
      </c>
      <c r="E76" s="61">
        <v>13</v>
      </c>
      <c r="F76" s="61">
        <v>9</v>
      </c>
      <c r="G76" s="61">
        <v>13</v>
      </c>
      <c r="H76" s="61">
        <v>-9</v>
      </c>
      <c r="I76" s="61">
        <v>99</v>
      </c>
      <c r="J76" s="61">
        <v>107.81</v>
      </c>
      <c r="K76" s="61">
        <v>-0.17219999999999999</v>
      </c>
      <c r="L76" s="61">
        <v>-0.15129999999999999</v>
      </c>
      <c r="M76" s="62" t="s">
        <v>166</v>
      </c>
      <c r="N76" s="62"/>
      <c r="O76" s="62"/>
      <c r="P76" s="62"/>
      <c r="Q76" s="62"/>
      <c r="R76" s="62"/>
      <c r="S76" s="62"/>
      <c r="T76" s="62"/>
      <c r="U76" s="62"/>
      <c r="V76" s="62"/>
    </row>
    <row r="77" spans="1:22" ht="12.75" customHeight="1" x14ac:dyDescent="0.25">
      <c r="A77" s="61">
        <v>411</v>
      </c>
      <c r="B77" s="62" t="s">
        <v>19</v>
      </c>
      <c r="C77" s="62" t="s">
        <v>110</v>
      </c>
      <c r="D77" s="61" t="s">
        <v>160</v>
      </c>
      <c r="E77" s="61">
        <v>13</v>
      </c>
      <c r="F77" s="61">
        <v>1</v>
      </c>
      <c r="G77" s="61">
        <v>6.5</v>
      </c>
      <c r="H77" s="61">
        <v>-9</v>
      </c>
      <c r="I77" s="61">
        <v>99</v>
      </c>
      <c r="J77" s="61">
        <v>107.81</v>
      </c>
      <c r="K77" s="61">
        <v>-0.17219999999999999</v>
      </c>
      <c r="L77" s="61">
        <v>-0.15129999999999999</v>
      </c>
      <c r="M77" s="62" t="s">
        <v>166</v>
      </c>
      <c r="N77" s="62"/>
      <c r="O77" s="62"/>
      <c r="P77" s="62"/>
      <c r="Q77" s="62"/>
      <c r="R77" s="62"/>
      <c r="S77" s="62"/>
      <c r="T77" s="62"/>
      <c r="U77" s="62"/>
      <c r="V77" s="62"/>
    </row>
    <row r="78" spans="1:22" ht="12.75" customHeight="1" x14ac:dyDescent="0.25">
      <c r="A78" s="61">
        <v>411</v>
      </c>
      <c r="B78" s="62" t="s">
        <v>19</v>
      </c>
      <c r="C78" s="62" t="s">
        <v>110</v>
      </c>
      <c r="D78" s="61" t="s">
        <v>160</v>
      </c>
      <c r="E78" s="61">
        <v>17.5</v>
      </c>
      <c r="F78" s="61">
        <v>6.5</v>
      </c>
      <c r="G78" s="61">
        <v>9.5</v>
      </c>
      <c r="H78" s="61">
        <v>-9</v>
      </c>
      <c r="I78" s="61">
        <v>99</v>
      </c>
      <c r="J78" s="61">
        <v>105.345</v>
      </c>
      <c r="K78" s="61">
        <v>0.92390700000000003</v>
      </c>
      <c r="L78" s="61">
        <v>-0.13556000000000001</v>
      </c>
      <c r="M78" s="62" t="s">
        <v>166</v>
      </c>
      <c r="N78" s="62"/>
      <c r="O78" s="62"/>
      <c r="P78" s="62"/>
      <c r="Q78" s="62"/>
      <c r="R78" s="62"/>
      <c r="S78" s="62"/>
      <c r="T78" s="62"/>
      <c r="U78" s="62"/>
      <c r="V78" s="62"/>
    </row>
    <row r="79" spans="1:22" ht="12.75" customHeight="1" x14ac:dyDescent="0.25">
      <c r="A79" s="61">
        <v>411</v>
      </c>
      <c r="B79" s="62" t="s">
        <v>19</v>
      </c>
      <c r="C79" s="62" t="s">
        <v>110</v>
      </c>
      <c r="D79" s="61" t="s">
        <v>160</v>
      </c>
      <c r="E79" s="61">
        <v>13</v>
      </c>
      <c r="F79" s="61">
        <v>9.5</v>
      </c>
      <c r="G79" s="61">
        <v>13</v>
      </c>
      <c r="H79" s="61">
        <v>-9</v>
      </c>
      <c r="I79" s="61">
        <v>99</v>
      </c>
      <c r="J79" s="61">
        <v>107.81</v>
      </c>
      <c r="K79" s="61">
        <v>-0.17219999999999999</v>
      </c>
      <c r="L79" s="61">
        <v>-0.15129999999999999</v>
      </c>
      <c r="M79" s="62" t="s">
        <v>166</v>
      </c>
      <c r="N79" s="62"/>
      <c r="O79" s="62"/>
      <c r="P79" s="62"/>
      <c r="Q79" s="62"/>
      <c r="R79" s="62"/>
      <c r="S79" s="62"/>
      <c r="T79" s="62"/>
      <c r="U79" s="62"/>
      <c r="V79" s="62"/>
    </row>
    <row r="80" spans="1:22" ht="12.75" customHeight="1" x14ac:dyDescent="0.25">
      <c r="A80" s="61">
        <v>412</v>
      </c>
      <c r="B80" s="62" t="s">
        <v>19</v>
      </c>
      <c r="C80" s="62" t="s">
        <v>110</v>
      </c>
      <c r="D80" s="61" t="s">
        <v>160</v>
      </c>
      <c r="E80" s="61">
        <v>13</v>
      </c>
      <c r="F80" s="61">
        <v>1</v>
      </c>
      <c r="G80" s="61">
        <v>6.5</v>
      </c>
      <c r="H80" s="61">
        <v>-9</v>
      </c>
      <c r="I80" s="61">
        <v>99</v>
      </c>
      <c r="J80" s="61">
        <v>107.81</v>
      </c>
      <c r="K80" s="61">
        <v>-0.17219999999999999</v>
      </c>
      <c r="L80" s="61">
        <v>-0.15129999999999999</v>
      </c>
      <c r="M80" s="62" t="s">
        <v>166</v>
      </c>
      <c r="N80" s="62"/>
      <c r="O80" s="62"/>
      <c r="P80" s="62"/>
      <c r="Q80" s="62"/>
      <c r="R80" s="62"/>
      <c r="S80" s="62"/>
      <c r="T80" s="62"/>
      <c r="U80" s="62"/>
      <c r="V80" s="62"/>
    </row>
    <row r="81" spans="1:22" ht="12.75" customHeight="1" x14ac:dyDescent="0.25">
      <c r="A81" s="61">
        <v>412</v>
      </c>
      <c r="B81" s="62" t="s">
        <v>19</v>
      </c>
      <c r="C81" s="62" t="s">
        <v>110</v>
      </c>
      <c r="D81" s="61" t="s">
        <v>160</v>
      </c>
      <c r="E81" s="61">
        <v>17.5</v>
      </c>
      <c r="F81" s="61">
        <v>6.5</v>
      </c>
      <c r="G81" s="61">
        <v>10</v>
      </c>
      <c r="H81" s="61">
        <v>-9</v>
      </c>
      <c r="I81" s="61">
        <v>99</v>
      </c>
      <c r="J81" s="61">
        <v>105.345</v>
      </c>
      <c r="K81" s="61">
        <v>0.92390700000000003</v>
      </c>
      <c r="L81" s="61">
        <v>-0.13556000000000001</v>
      </c>
      <c r="M81" s="62" t="s">
        <v>166</v>
      </c>
      <c r="N81" s="62"/>
      <c r="O81" s="62"/>
      <c r="P81" s="62"/>
      <c r="Q81" s="62"/>
      <c r="R81" s="62"/>
      <c r="S81" s="62"/>
      <c r="T81" s="62"/>
      <c r="U81" s="62"/>
      <c r="V81" s="62"/>
    </row>
    <row r="82" spans="1:22" ht="12.75" customHeight="1" x14ac:dyDescent="0.25">
      <c r="A82" s="61">
        <v>412</v>
      </c>
      <c r="B82" s="62" t="s">
        <v>19</v>
      </c>
      <c r="C82" s="62" t="s">
        <v>110</v>
      </c>
      <c r="D82" s="61" t="s">
        <v>160</v>
      </c>
      <c r="E82" s="61">
        <v>13</v>
      </c>
      <c r="F82" s="61">
        <v>10</v>
      </c>
      <c r="G82" s="61">
        <v>13</v>
      </c>
      <c r="H82" s="61">
        <v>-9</v>
      </c>
      <c r="I82" s="61">
        <v>99</v>
      </c>
      <c r="J82" s="61">
        <v>107.81</v>
      </c>
      <c r="K82" s="61">
        <v>-0.17219999999999999</v>
      </c>
      <c r="L82" s="61">
        <v>-0.15129999999999999</v>
      </c>
      <c r="M82" s="62" t="s">
        <v>166</v>
      </c>
      <c r="N82" s="62"/>
      <c r="O82" s="62"/>
      <c r="P82" s="62"/>
      <c r="Q82" s="62"/>
      <c r="R82" s="62"/>
      <c r="S82" s="62"/>
      <c r="T82" s="62"/>
      <c r="U82" s="62"/>
      <c r="V82" s="62"/>
    </row>
    <row r="83" spans="1:22" ht="12.75" customHeight="1" x14ac:dyDescent="0.25">
      <c r="A83" s="61">
        <v>413</v>
      </c>
      <c r="B83" s="62" t="s">
        <v>19</v>
      </c>
      <c r="C83" s="62" t="s">
        <v>110</v>
      </c>
      <c r="D83" s="61" t="s">
        <v>160</v>
      </c>
      <c r="E83" s="61">
        <v>13</v>
      </c>
      <c r="F83" s="61">
        <v>1</v>
      </c>
      <c r="G83" s="61">
        <v>7</v>
      </c>
      <c r="H83" s="61">
        <v>-9</v>
      </c>
      <c r="I83" s="61">
        <v>99</v>
      </c>
      <c r="J83" s="61">
        <v>107.81</v>
      </c>
      <c r="K83" s="61">
        <v>-0.17219999999999999</v>
      </c>
      <c r="L83" s="61">
        <v>-0.15129999999999999</v>
      </c>
      <c r="M83" s="62" t="s">
        <v>166</v>
      </c>
      <c r="N83" s="62"/>
      <c r="O83" s="62"/>
      <c r="P83" s="62"/>
      <c r="Q83" s="62"/>
      <c r="R83" s="62"/>
      <c r="S83" s="62"/>
      <c r="T83" s="62"/>
      <c r="U83" s="62"/>
      <c r="V83" s="62"/>
    </row>
    <row r="84" spans="1:22" ht="12.75" customHeight="1" x14ac:dyDescent="0.25">
      <c r="A84" s="61">
        <v>413</v>
      </c>
      <c r="B84" s="62" t="s">
        <v>19</v>
      </c>
      <c r="C84" s="62" t="s">
        <v>110</v>
      </c>
      <c r="D84" s="61" t="s">
        <v>160</v>
      </c>
      <c r="E84" s="61">
        <v>17.5</v>
      </c>
      <c r="F84" s="61">
        <v>7</v>
      </c>
      <c r="G84" s="61">
        <v>8.5</v>
      </c>
      <c r="H84" s="61">
        <v>-9</v>
      </c>
      <c r="I84" s="61">
        <v>99</v>
      </c>
      <c r="J84" s="61">
        <v>105.345</v>
      </c>
      <c r="K84" s="61">
        <v>0.92390700000000003</v>
      </c>
      <c r="L84" s="61">
        <v>-0.13556000000000001</v>
      </c>
      <c r="M84" s="62" t="s">
        <v>166</v>
      </c>
      <c r="N84" s="62"/>
      <c r="O84" s="62"/>
      <c r="P84" s="62"/>
      <c r="Q84" s="62"/>
      <c r="R84" s="62"/>
      <c r="S84" s="62"/>
      <c r="T84" s="62"/>
      <c r="U84" s="62"/>
      <c r="V84" s="62"/>
    </row>
    <row r="85" spans="1:22" ht="12.75" customHeight="1" x14ac:dyDescent="0.25">
      <c r="A85" s="61">
        <v>413</v>
      </c>
      <c r="B85" s="62" t="s">
        <v>19</v>
      </c>
      <c r="C85" s="62" t="s">
        <v>110</v>
      </c>
      <c r="D85" s="61" t="s">
        <v>160</v>
      </c>
      <c r="E85" s="61">
        <v>13</v>
      </c>
      <c r="F85" s="61">
        <v>8.5</v>
      </c>
      <c r="G85" s="61">
        <v>13</v>
      </c>
      <c r="H85" s="61">
        <v>-9</v>
      </c>
      <c r="I85" s="61">
        <v>99</v>
      </c>
      <c r="J85" s="61">
        <v>107.81</v>
      </c>
      <c r="K85" s="61">
        <v>-0.17219999999999999</v>
      </c>
      <c r="L85" s="61">
        <v>-0.15129999999999999</v>
      </c>
      <c r="M85" s="62" t="s">
        <v>166</v>
      </c>
      <c r="N85" s="62"/>
      <c r="O85" s="62"/>
      <c r="P85" s="62"/>
      <c r="Q85" s="62"/>
      <c r="R85" s="62"/>
      <c r="S85" s="62"/>
      <c r="T85" s="62"/>
      <c r="U85" s="62"/>
      <c r="V85" s="62"/>
    </row>
    <row r="86" spans="1:22" ht="12.75" customHeight="1" x14ac:dyDescent="0.25">
      <c r="A86" s="61">
        <v>414</v>
      </c>
      <c r="B86" s="62" t="s">
        <v>19</v>
      </c>
      <c r="C86" s="62" t="s">
        <v>110</v>
      </c>
      <c r="D86" s="61" t="s">
        <v>160</v>
      </c>
      <c r="E86" s="61">
        <v>13</v>
      </c>
      <c r="F86" s="61">
        <v>1</v>
      </c>
      <c r="G86" s="61">
        <v>7</v>
      </c>
      <c r="H86" s="61">
        <v>-9</v>
      </c>
      <c r="I86" s="61">
        <v>99</v>
      </c>
      <c r="J86" s="61">
        <v>107.81</v>
      </c>
      <c r="K86" s="61">
        <v>-0.17219999999999999</v>
      </c>
      <c r="L86" s="61">
        <v>-0.15129999999999999</v>
      </c>
      <c r="M86" s="62" t="s">
        <v>166</v>
      </c>
      <c r="N86" s="62"/>
      <c r="O86" s="62"/>
      <c r="P86" s="62"/>
      <c r="Q86" s="62"/>
      <c r="R86" s="62"/>
      <c r="S86" s="62"/>
      <c r="T86" s="62"/>
      <c r="U86" s="62"/>
      <c r="V86" s="62"/>
    </row>
    <row r="87" spans="1:22" ht="12.75" customHeight="1" x14ac:dyDescent="0.25">
      <c r="A87" s="61">
        <v>414</v>
      </c>
      <c r="B87" s="62" t="s">
        <v>19</v>
      </c>
      <c r="C87" s="62" t="s">
        <v>110</v>
      </c>
      <c r="D87" s="61" t="s">
        <v>160</v>
      </c>
      <c r="E87" s="61">
        <v>17.5</v>
      </c>
      <c r="F87" s="61">
        <v>7</v>
      </c>
      <c r="G87" s="61">
        <v>9</v>
      </c>
      <c r="H87" s="61">
        <v>-9</v>
      </c>
      <c r="I87" s="61">
        <v>99</v>
      </c>
      <c r="J87" s="61">
        <v>105.345</v>
      </c>
      <c r="K87" s="61">
        <v>0.92390700000000003</v>
      </c>
      <c r="L87" s="61">
        <v>-0.13556000000000001</v>
      </c>
      <c r="M87" s="62" t="s">
        <v>166</v>
      </c>
      <c r="N87" s="62"/>
      <c r="O87" s="62"/>
      <c r="P87" s="62"/>
      <c r="Q87" s="62"/>
      <c r="R87" s="62"/>
      <c r="S87" s="62"/>
      <c r="T87" s="62"/>
      <c r="U87" s="62"/>
      <c r="V87" s="62"/>
    </row>
    <row r="88" spans="1:22" ht="12.75" customHeight="1" x14ac:dyDescent="0.25">
      <c r="A88" s="61">
        <v>414</v>
      </c>
      <c r="B88" s="62" t="s">
        <v>19</v>
      </c>
      <c r="C88" s="62" t="s">
        <v>110</v>
      </c>
      <c r="D88" s="61" t="s">
        <v>160</v>
      </c>
      <c r="E88" s="61">
        <v>13</v>
      </c>
      <c r="F88" s="61">
        <v>9</v>
      </c>
      <c r="G88" s="61">
        <v>13</v>
      </c>
      <c r="H88" s="61">
        <v>-9</v>
      </c>
      <c r="I88" s="61">
        <v>99</v>
      </c>
      <c r="J88" s="61">
        <v>107.81</v>
      </c>
      <c r="K88" s="61">
        <v>-0.17219999999999999</v>
      </c>
      <c r="L88" s="61">
        <v>-0.15129999999999999</v>
      </c>
      <c r="M88" s="62" t="s">
        <v>166</v>
      </c>
      <c r="N88" s="62"/>
      <c r="O88" s="62"/>
      <c r="P88" s="62"/>
      <c r="Q88" s="62"/>
      <c r="R88" s="62"/>
      <c r="S88" s="62"/>
      <c r="T88" s="62"/>
      <c r="U88" s="62"/>
      <c r="V88" s="62"/>
    </row>
    <row r="89" spans="1:22" ht="12.75" customHeight="1" x14ac:dyDescent="0.25">
      <c r="A89" s="61">
        <v>415</v>
      </c>
      <c r="B89" s="62" t="s">
        <v>19</v>
      </c>
      <c r="C89" s="62" t="s">
        <v>110</v>
      </c>
      <c r="D89" s="61" t="s">
        <v>160</v>
      </c>
      <c r="E89" s="61">
        <v>13</v>
      </c>
      <c r="F89" s="61">
        <v>1</v>
      </c>
      <c r="G89" s="61">
        <v>7</v>
      </c>
      <c r="H89" s="61">
        <v>-9</v>
      </c>
      <c r="I89" s="61">
        <v>99</v>
      </c>
      <c r="J89" s="61">
        <v>107.81</v>
      </c>
      <c r="K89" s="61">
        <v>-0.17219999999999999</v>
      </c>
      <c r="L89" s="61">
        <v>-0.15129999999999999</v>
      </c>
      <c r="M89" s="62" t="s">
        <v>166</v>
      </c>
      <c r="N89" s="62"/>
      <c r="O89" s="62"/>
      <c r="P89" s="62"/>
      <c r="Q89" s="62"/>
      <c r="R89" s="62"/>
      <c r="S89" s="62"/>
      <c r="T89" s="62"/>
      <c r="U89" s="62"/>
      <c r="V89" s="62"/>
    </row>
    <row r="90" spans="1:22" ht="12.75" customHeight="1" x14ac:dyDescent="0.25">
      <c r="A90" s="61">
        <v>415</v>
      </c>
      <c r="B90" s="62" t="s">
        <v>19</v>
      </c>
      <c r="C90" s="62" t="s">
        <v>110</v>
      </c>
      <c r="D90" s="61" t="s">
        <v>160</v>
      </c>
      <c r="E90" s="61">
        <v>17.5</v>
      </c>
      <c r="F90" s="61">
        <v>7</v>
      </c>
      <c r="G90" s="61">
        <v>9.5</v>
      </c>
      <c r="H90" s="61">
        <v>-9</v>
      </c>
      <c r="I90" s="61">
        <v>99</v>
      </c>
      <c r="J90" s="61">
        <v>105.345</v>
      </c>
      <c r="K90" s="61">
        <v>0.92390700000000003</v>
      </c>
      <c r="L90" s="61">
        <v>-0.13556000000000001</v>
      </c>
      <c r="M90" s="62" t="s">
        <v>166</v>
      </c>
      <c r="N90" s="62"/>
      <c r="O90" s="62"/>
      <c r="P90" s="62"/>
      <c r="Q90" s="62"/>
      <c r="R90" s="62"/>
      <c r="S90" s="62"/>
      <c r="T90" s="62"/>
      <c r="U90" s="62"/>
      <c r="V90" s="62"/>
    </row>
    <row r="91" spans="1:22" ht="12.75" customHeight="1" x14ac:dyDescent="0.25">
      <c r="A91" s="61">
        <v>415</v>
      </c>
      <c r="B91" s="62" t="s">
        <v>19</v>
      </c>
      <c r="C91" s="62" t="s">
        <v>110</v>
      </c>
      <c r="D91" s="61" t="s">
        <v>160</v>
      </c>
      <c r="E91" s="61">
        <v>13</v>
      </c>
      <c r="F91" s="61">
        <v>9.5</v>
      </c>
      <c r="G91" s="61">
        <v>13</v>
      </c>
      <c r="H91" s="61">
        <v>-9</v>
      </c>
      <c r="I91" s="61">
        <v>99</v>
      </c>
      <c r="J91" s="61">
        <v>107.81</v>
      </c>
      <c r="K91" s="61">
        <v>-0.17219999999999999</v>
      </c>
      <c r="L91" s="61">
        <v>-0.15129999999999999</v>
      </c>
      <c r="M91" s="62" t="s">
        <v>166</v>
      </c>
      <c r="N91" s="62"/>
      <c r="O91" s="62"/>
      <c r="P91" s="62"/>
      <c r="Q91" s="62"/>
      <c r="R91" s="62"/>
      <c r="S91" s="62"/>
      <c r="T91" s="62"/>
      <c r="U91" s="62"/>
      <c r="V91" s="62"/>
    </row>
    <row r="92" spans="1:22" ht="12.75" customHeight="1" x14ac:dyDescent="0.25">
      <c r="A92" s="61">
        <v>416</v>
      </c>
      <c r="B92" s="62" t="s">
        <v>19</v>
      </c>
      <c r="C92" s="62" t="s">
        <v>110</v>
      </c>
      <c r="D92" s="61" t="s">
        <v>160</v>
      </c>
      <c r="E92" s="61">
        <v>13</v>
      </c>
      <c r="F92" s="61">
        <v>1</v>
      </c>
      <c r="G92" s="61">
        <v>7.5</v>
      </c>
      <c r="H92" s="61">
        <v>-9</v>
      </c>
      <c r="I92" s="61">
        <v>99</v>
      </c>
      <c r="J92" s="61">
        <v>107.81</v>
      </c>
      <c r="K92" s="61">
        <v>-0.17219999999999999</v>
      </c>
      <c r="L92" s="61">
        <v>-0.15129999999999999</v>
      </c>
      <c r="M92" s="62" t="s">
        <v>166</v>
      </c>
      <c r="N92" s="62"/>
      <c r="O92" s="62"/>
      <c r="P92" s="62"/>
      <c r="Q92" s="62"/>
      <c r="R92" s="62"/>
      <c r="S92" s="62"/>
      <c r="T92" s="62"/>
      <c r="U92" s="62"/>
      <c r="V92" s="62"/>
    </row>
    <row r="93" spans="1:22" ht="12.75" customHeight="1" x14ac:dyDescent="0.25">
      <c r="A93" s="61">
        <v>416</v>
      </c>
      <c r="B93" s="62" t="s">
        <v>19</v>
      </c>
      <c r="C93" s="62" t="s">
        <v>110</v>
      </c>
      <c r="D93" s="61" t="s">
        <v>160</v>
      </c>
      <c r="E93" s="61">
        <v>17.5</v>
      </c>
      <c r="F93" s="61">
        <v>7.5</v>
      </c>
      <c r="G93" s="61">
        <v>8</v>
      </c>
      <c r="H93" s="61">
        <v>-9</v>
      </c>
      <c r="I93" s="61">
        <v>99</v>
      </c>
      <c r="J93" s="61">
        <v>105.345</v>
      </c>
      <c r="K93" s="61">
        <v>0.92390700000000003</v>
      </c>
      <c r="L93" s="61">
        <v>-0.13556000000000001</v>
      </c>
      <c r="M93" s="62" t="s">
        <v>166</v>
      </c>
      <c r="N93" s="62"/>
      <c r="O93" s="62"/>
      <c r="P93" s="62"/>
      <c r="Q93" s="62"/>
      <c r="R93" s="62"/>
      <c r="S93" s="62"/>
      <c r="T93" s="62"/>
      <c r="U93" s="62"/>
      <c r="V93" s="62"/>
    </row>
    <row r="94" spans="1:22" ht="12.75" customHeight="1" x14ac:dyDescent="0.25">
      <c r="A94" s="61">
        <v>416</v>
      </c>
      <c r="B94" s="62" t="s">
        <v>19</v>
      </c>
      <c r="C94" s="62" t="s">
        <v>110</v>
      </c>
      <c r="D94" s="61" t="s">
        <v>160</v>
      </c>
      <c r="E94" s="61">
        <v>13</v>
      </c>
      <c r="F94" s="61">
        <v>8</v>
      </c>
      <c r="G94" s="61">
        <v>13</v>
      </c>
      <c r="H94" s="61">
        <v>-9</v>
      </c>
      <c r="I94" s="61">
        <v>99</v>
      </c>
      <c r="J94" s="61">
        <v>107.81</v>
      </c>
      <c r="K94" s="61">
        <v>-0.17219999999999999</v>
      </c>
      <c r="L94" s="61">
        <v>-0.15129999999999999</v>
      </c>
      <c r="M94" s="62" t="s">
        <v>166</v>
      </c>
      <c r="N94" s="62"/>
      <c r="O94" s="62"/>
      <c r="P94" s="62"/>
      <c r="Q94" s="62"/>
      <c r="R94" s="62"/>
      <c r="S94" s="62"/>
      <c r="T94" s="62"/>
      <c r="U94" s="62"/>
      <c r="V94" s="62"/>
    </row>
    <row r="95" spans="1:22" ht="12.75" customHeight="1" x14ac:dyDescent="0.25">
      <c r="A95" s="61">
        <v>417</v>
      </c>
      <c r="B95" s="62" t="s">
        <v>19</v>
      </c>
      <c r="C95" s="62" t="s">
        <v>110</v>
      </c>
      <c r="D95" s="61" t="s">
        <v>160</v>
      </c>
      <c r="E95" s="61">
        <v>13</v>
      </c>
      <c r="F95" s="61">
        <v>1</v>
      </c>
      <c r="G95" s="61">
        <v>7.5</v>
      </c>
      <c r="H95" s="61">
        <v>-9</v>
      </c>
      <c r="I95" s="61">
        <v>99</v>
      </c>
      <c r="J95" s="61">
        <v>107.81</v>
      </c>
      <c r="K95" s="61">
        <v>-0.17219999999999999</v>
      </c>
      <c r="L95" s="61">
        <v>-0.15129999999999999</v>
      </c>
      <c r="M95" s="62" t="s">
        <v>166</v>
      </c>
      <c r="N95" s="62"/>
      <c r="O95" s="62"/>
      <c r="P95" s="62"/>
      <c r="Q95" s="62"/>
      <c r="R95" s="62"/>
      <c r="S95" s="62"/>
      <c r="T95" s="62"/>
      <c r="U95" s="62"/>
      <c r="V95" s="62"/>
    </row>
    <row r="96" spans="1:22" ht="12.75" customHeight="1" x14ac:dyDescent="0.25">
      <c r="A96" s="61">
        <v>417</v>
      </c>
      <c r="B96" s="62" t="s">
        <v>19</v>
      </c>
      <c r="C96" s="62" t="s">
        <v>110</v>
      </c>
      <c r="D96" s="61" t="s">
        <v>160</v>
      </c>
      <c r="E96" s="61">
        <v>17.5</v>
      </c>
      <c r="F96" s="61">
        <v>7.5</v>
      </c>
      <c r="G96" s="61">
        <v>8.5</v>
      </c>
      <c r="H96" s="61">
        <v>-9</v>
      </c>
      <c r="I96" s="61">
        <v>99</v>
      </c>
      <c r="J96" s="61">
        <v>105.345</v>
      </c>
      <c r="K96" s="61">
        <v>0.92390700000000003</v>
      </c>
      <c r="L96" s="61">
        <v>-0.13556000000000001</v>
      </c>
      <c r="M96" s="62" t="s">
        <v>166</v>
      </c>
      <c r="N96" s="62"/>
      <c r="O96" s="62"/>
      <c r="P96" s="62"/>
      <c r="Q96" s="62"/>
      <c r="R96" s="62"/>
      <c r="S96" s="62"/>
      <c r="T96" s="62"/>
      <c r="U96" s="62"/>
      <c r="V96" s="62"/>
    </row>
    <row r="97" spans="1:22" ht="12.75" customHeight="1" x14ac:dyDescent="0.25">
      <c r="A97" s="61">
        <v>417</v>
      </c>
      <c r="B97" s="62" t="s">
        <v>19</v>
      </c>
      <c r="C97" s="62" t="s">
        <v>110</v>
      </c>
      <c r="D97" s="61" t="s">
        <v>160</v>
      </c>
      <c r="E97" s="61">
        <v>13</v>
      </c>
      <c r="F97" s="61">
        <v>8.5</v>
      </c>
      <c r="G97" s="61">
        <v>13</v>
      </c>
      <c r="H97" s="61">
        <v>-9</v>
      </c>
      <c r="I97" s="61">
        <v>99</v>
      </c>
      <c r="J97" s="61">
        <v>107.81</v>
      </c>
      <c r="K97" s="61">
        <v>-0.17219999999999999</v>
      </c>
      <c r="L97" s="61">
        <v>-0.15129999999999999</v>
      </c>
      <c r="M97" s="62" t="s">
        <v>166</v>
      </c>
      <c r="N97" s="62"/>
      <c r="O97" s="62"/>
      <c r="P97" s="62"/>
      <c r="Q97" s="62"/>
      <c r="R97" s="62"/>
      <c r="S97" s="62"/>
      <c r="T97" s="62"/>
      <c r="U97" s="62"/>
      <c r="V97" s="62"/>
    </row>
    <row r="98" spans="1:22" ht="12.75" customHeight="1" x14ac:dyDescent="0.25">
      <c r="A98" s="61">
        <v>418</v>
      </c>
      <c r="B98" s="62" t="s">
        <v>19</v>
      </c>
      <c r="C98" s="62" t="s">
        <v>110</v>
      </c>
      <c r="D98" s="61" t="s">
        <v>160</v>
      </c>
      <c r="E98" s="61">
        <v>13</v>
      </c>
      <c r="F98" s="61">
        <v>1</v>
      </c>
      <c r="G98" s="61">
        <v>7.5</v>
      </c>
      <c r="H98" s="61">
        <v>-9</v>
      </c>
      <c r="I98" s="61">
        <v>99</v>
      </c>
      <c r="J98" s="61">
        <v>107.81</v>
      </c>
      <c r="K98" s="61">
        <v>-0.17219999999999999</v>
      </c>
      <c r="L98" s="61">
        <v>-0.15129999999999999</v>
      </c>
      <c r="M98" s="62" t="s">
        <v>166</v>
      </c>
      <c r="N98" s="62"/>
      <c r="O98" s="62"/>
      <c r="P98" s="62"/>
      <c r="Q98" s="62"/>
      <c r="R98" s="62"/>
      <c r="S98" s="62"/>
      <c r="T98" s="62"/>
      <c r="U98" s="62"/>
      <c r="V98" s="62"/>
    </row>
    <row r="99" spans="1:22" ht="12.75" customHeight="1" x14ac:dyDescent="0.25">
      <c r="A99" s="61">
        <v>418</v>
      </c>
      <c r="B99" s="62" t="s">
        <v>19</v>
      </c>
      <c r="C99" s="62" t="s">
        <v>110</v>
      </c>
      <c r="D99" s="61" t="s">
        <v>160</v>
      </c>
      <c r="E99" s="61">
        <v>17.5</v>
      </c>
      <c r="F99" s="61">
        <v>7.5</v>
      </c>
      <c r="G99" s="61">
        <v>9</v>
      </c>
      <c r="H99" s="61">
        <v>-9</v>
      </c>
      <c r="I99" s="61">
        <v>99</v>
      </c>
      <c r="J99" s="61">
        <v>105.345</v>
      </c>
      <c r="K99" s="61">
        <v>0.92390700000000003</v>
      </c>
      <c r="L99" s="61">
        <v>-0.13556000000000001</v>
      </c>
      <c r="M99" s="62" t="s">
        <v>166</v>
      </c>
      <c r="N99" s="62"/>
      <c r="O99" s="62"/>
      <c r="P99" s="62"/>
      <c r="Q99" s="62"/>
      <c r="R99" s="62"/>
      <c r="S99" s="62"/>
      <c r="T99" s="62"/>
      <c r="U99" s="62"/>
      <c r="V99" s="62"/>
    </row>
    <row r="100" spans="1:22" ht="12.75" customHeight="1" x14ac:dyDescent="0.25">
      <c r="A100" s="61">
        <v>418</v>
      </c>
      <c r="B100" s="62" t="s">
        <v>19</v>
      </c>
      <c r="C100" s="62" t="s">
        <v>110</v>
      </c>
      <c r="D100" s="61" t="s">
        <v>160</v>
      </c>
      <c r="E100" s="61">
        <v>13</v>
      </c>
      <c r="F100" s="61">
        <v>9</v>
      </c>
      <c r="G100" s="61">
        <v>13</v>
      </c>
      <c r="H100" s="61">
        <v>-9</v>
      </c>
      <c r="I100" s="61">
        <v>99</v>
      </c>
      <c r="J100" s="61">
        <v>107.81</v>
      </c>
      <c r="K100" s="61">
        <v>-0.17219999999999999</v>
      </c>
      <c r="L100" s="61">
        <v>-0.15129999999999999</v>
      </c>
      <c r="M100" s="62" t="s">
        <v>166</v>
      </c>
      <c r="N100" s="62"/>
      <c r="O100" s="62"/>
      <c r="P100" s="62"/>
      <c r="Q100" s="62"/>
      <c r="R100" s="62"/>
      <c r="S100" s="62"/>
      <c r="T100" s="62"/>
      <c r="U100" s="62"/>
      <c r="V100" s="62"/>
    </row>
    <row r="101" spans="1:22" ht="12.75" customHeight="1" x14ac:dyDescent="0.25">
      <c r="A101" s="61">
        <v>501</v>
      </c>
      <c r="B101" s="62" t="s">
        <v>19</v>
      </c>
      <c r="C101" s="62" t="s">
        <v>111</v>
      </c>
      <c r="D101" s="61" t="s">
        <v>160</v>
      </c>
      <c r="E101" s="61">
        <v>16</v>
      </c>
      <c r="F101" s="61">
        <v>1</v>
      </c>
      <c r="G101" s="61">
        <v>2.5</v>
      </c>
      <c r="H101" s="61">
        <v>-9</v>
      </c>
      <c r="I101" s="61">
        <v>99</v>
      </c>
      <c r="J101" s="61">
        <v>99.92</v>
      </c>
      <c r="K101" s="61">
        <v>0.92390700000000003</v>
      </c>
      <c r="L101" s="61">
        <v>-0.13556000000000001</v>
      </c>
      <c r="M101" s="62" t="s">
        <v>167</v>
      </c>
      <c r="N101" s="62"/>
      <c r="O101" s="62"/>
      <c r="P101" s="62"/>
      <c r="Q101" s="62"/>
      <c r="R101" s="62"/>
      <c r="S101" s="62"/>
      <c r="T101" s="62"/>
      <c r="U101" s="62"/>
      <c r="V101" s="62"/>
    </row>
    <row r="102" spans="1:22" ht="12.75" customHeight="1" x14ac:dyDescent="0.25">
      <c r="A102" s="61">
        <v>501</v>
      </c>
      <c r="B102" s="62" t="s">
        <v>19</v>
      </c>
      <c r="C102" s="62" t="s">
        <v>111</v>
      </c>
      <c r="D102" s="61" t="s">
        <v>160</v>
      </c>
      <c r="E102" s="61">
        <v>13</v>
      </c>
      <c r="F102" s="61">
        <v>2.5</v>
      </c>
      <c r="G102" s="61">
        <v>6</v>
      </c>
      <c r="H102" s="61">
        <v>-9</v>
      </c>
      <c r="I102" s="61">
        <v>99</v>
      </c>
      <c r="J102" s="61">
        <v>107.81</v>
      </c>
      <c r="K102" s="61">
        <v>-0.17219999999999999</v>
      </c>
      <c r="L102" s="61">
        <v>-0.15129999999999999</v>
      </c>
      <c r="M102" s="62" t="s">
        <v>167</v>
      </c>
      <c r="N102" s="62"/>
      <c r="O102" s="62"/>
      <c r="P102" s="62"/>
      <c r="Q102" s="62"/>
      <c r="R102" s="62"/>
      <c r="S102" s="62"/>
      <c r="T102" s="62"/>
      <c r="U102" s="62"/>
      <c r="V102" s="62"/>
    </row>
    <row r="103" spans="1:22" ht="12.75" customHeight="1" x14ac:dyDescent="0.25">
      <c r="A103" s="61">
        <v>501</v>
      </c>
      <c r="B103" s="62" t="s">
        <v>19</v>
      </c>
      <c r="C103" s="62" t="s">
        <v>111</v>
      </c>
      <c r="D103" s="61" t="s">
        <v>160</v>
      </c>
      <c r="E103" s="61">
        <v>16</v>
      </c>
      <c r="F103" s="61">
        <v>6</v>
      </c>
      <c r="G103" s="61">
        <v>13</v>
      </c>
      <c r="H103" s="61">
        <v>-9</v>
      </c>
      <c r="I103" s="61">
        <v>99</v>
      </c>
      <c r="J103" s="61">
        <v>99.92</v>
      </c>
      <c r="K103" s="61">
        <v>0.92390700000000003</v>
      </c>
      <c r="L103" s="61">
        <v>-0.13556000000000001</v>
      </c>
      <c r="M103" s="62" t="s">
        <v>167</v>
      </c>
      <c r="N103" s="62"/>
      <c r="O103" s="62"/>
      <c r="P103" s="62"/>
      <c r="Q103" s="62"/>
      <c r="R103" s="62"/>
      <c r="S103" s="62"/>
      <c r="T103" s="62"/>
      <c r="U103" s="62"/>
      <c r="V103" s="62"/>
    </row>
    <row r="104" spans="1:22" ht="12.75" customHeight="1" x14ac:dyDescent="0.25">
      <c r="A104" s="61">
        <v>502</v>
      </c>
      <c r="B104" s="62" t="s">
        <v>19</v>
      </c>
      <c r="C104" s="62" t="s">
        <v>111</v>
      </c>
      <c r="D104" s="61" t="s">
        <v>160</v>
      </c>
      <c r="E104" s="61">
        <v>16</v>
      </c>
      <c r="F104" s="61">
        <v>1</v>
      </c>
      <c r="G104" s="61">
        <v>2.5</v>
      </c>
      <c r="H104" s="61">
        <v>-9</v>
      </c>
      <c r="I104" s="61">
        <v>99</v>
      </c>
      <c r="J104" s="61">
        <v>99.92</v>
      </c>
      <c r="K104" s="61">
        <v>0.92390700000000003</v>
      </c>
      <c r="L104" s="61">
        <v>-0.13556000000000001</v>
      </c>
      <c r="M104" s="62" t="s">
        <v>167</v>
      </c>
      <c r="N104" s="62"/>
      <c r="O104" s="62"/>
      <c r="P104" s="62"/>
      <c r="Q104" s="62"/>
      <c r="R104" s="62"/>
      <c r="S104" s="62"/>
      <c r="T104" s="62"/>
      <c r="U104" s="62"/>
      <c r="V104" s="62"/>
    </row>
    <row r="105" spans="1:22" ht="12.75" customHeight="1" x14ac:dyDescent="0.25">
      <c r="A105" s="61">
        <v>502</v>
      </c>
      <c r="B105" s="62" t="s">
        <v>19</v>
      </c>
      <c r="C105" s="62" t="s">
        <v>111</v>
      </c>
      <c r="D105" s="61" t="s">
        <v>160</v>
      </c>
      <c r="E105" s="61">
        <v>13</v>
      </c>
      <c r="F105" s="61">
        <v>2.5</v>
      </c>
      <c r="G105" s="61">
        <v>6.5</v>
      </c>
      <c r="H105" s="61">
        <v>-9</v>
      </c>
      <c r="I105" s="61">
        <v>99</v>
      </c>
      <c r="J105" s="61">
        <v>107.81</v>
      </c>
      <c r="K105" s="61">
        <v>-0.17219999999999999</v>
      </c>
      <c r="L105" s="61">
        <v>-0.15129999999999999</v>
      </c>
      <c r="M105" s="62" t="s">
        <v>167</v>
      </c>
      <c r="N105" s="62"/>
      <c r="O105" s="62"/>
      <c r="P105" s="62"/>
      <c r="Q105" s="62"/>
      <c r="R105" s="62"/>
      <c r="S105" s="62"/>
      <c r="T105" s="62"/>
      <c r="U105" s="62"/>
      <c r="V105" s="62"/>
    </row>
    <row r="106" spans="1:22" ht="12.75" customHeight="1" x14ac:dyDescent="0.25">
      <c r="A106" s="61">
        <v>502</v>
      </c>
      <c r="B106" s="62" t="s">
        <v>19</v>
      </c>
      <c r="C106" s="62" t="s">
        <v>111</v>
      </c>
      <c r="D106" s="61" t="s">
        <v>160</v>
      </c>
      <c r="E106" s="61">
        <v>16</v>
      </c>
      <c r="F106" s="61">
        <v>6.5</v>
      </c>
      <c r="G106" s="61">
        <v>13</v>
      </c>
      <c r="H106" s="61">
        <v>-9</v>
      </c>
      <c r="I106" s="61">
        <v>99</v>
      </c>
      <c r="J106" s="61">
        <v>99.92</v>
      </c>
      <c r="K106" s="61">
        <v>0.92390700000000003</v>
      </c>
      <c r="L106" s="61">
        <v>-0.13556000000000001</v>
      </c>
      <c r="M106" s="62" t="s">
        <v>167</v>
      </c>
      <c r="N106" s="62"/>
      <c r="O106" s="62"/>
      <c r="P106" s="62"/>
      <c r="Q106" s="62"/>
      <c r="R106" s="62"/>
      <c r="S106" s="62"/>
      <c r="T106" s="62"/>
      <c r="U106" s="62"/>
      <c r="V106" s="62"/>
    </row>
    <row r="107" spans="1:22" ht="12.75" customHeight="1" x14ac:dyDescent="0.25">
      <c r="A107" s="61">
        <v>503</v>
      </c>
      <c r="B107" s="62" t="s">
        <v>19</v>
      </c>
      <c r="C107" s="62" t="s">
        <v>111</v>
      </c>
      <c r="D107" s="61" t="s">
        <v>160</v>
      </c>
      <c r="E107" s="61">
        <v>16</v>
      </c>
      <c r="F107" s="61">
        <v>1</v>
      </c>
      <c r="G107" s="61">
        <v>2.5</v>
      </c>
      <c r="H107" s="61">
        <v>-9</v>
      </c>
      <c r="I107" s="61">
        <v>99</v>
      </c>
      <c r="J107" s="61">
        <v>99.92</v>
      </c>
      <c r="K107" s="61">
        <v>0.92390700000000003</v>
      </c>
      <c r="L107" s="61">
        <v>-0.13556000000000001</v>
      </c>
      <c r="M107" s="62" t="s">
        <v>167</v>
      </c>
      <c r="N107" s="62"/>
      <c r="O107" s="62"/>
      <c r="P107" s="62"/>
      <c r="Q107" s="62"/>
      <c r="R107" s="62"/>
      <c r="S107" s="62"/>
      <c r="T107" s="62"/>
      <c r="U107" s="62"/>
      <c r="V107" s="62"/>
    </row>
    <row r="108" spans="1:22" ht="12.75" customHeight="1" x14ac:dyDescent="0.25">
      <c r="A108" s="61">
        <v>503</v>
      </c>
      <c r="B108" s="62" t="s">
        <v>19</v>
      </c>
      <c r="C108" s="62" t="s">
        <v>111</v>
      </c>
      <c r="D108" s="61" t="s">
        <v>160</v>
      </c>
      <c r="E108" s="61">
        <v>13</v>
      </c>
      <c r="F108" s="61">
        <v>2.5</v>
      </c>
      <c r="G108" s="61">
        <v>7</v>
      </c>
      <c r="H108" s="61">
        <v>-9</v>
      </c>
      <c r="I108" s="61">
        <v>99</v>
      </c>
      <c r="J108" s="61">
        <v>107.81</v>
      </c>
      <c r="K108" s="61">
        <v>-0.17219999999999999</v>
      </c>
      <c r="L108" s="61">
        <v>-0.15129999999999999</v>
      </c>
      <c r="M108" s="62" t="s">
        <v>167</v>
      </c>
      <c r="N108" s="62"/>
      <c r="O108" s="62"/>
      <c r="P108" s="62"/>
      <c r="Q108" s="62"/>
      <c r="R108" s="62"/>
      <c r="S108" s="62"/>
      <c r="T108" s="62"/>
      <c r="U108" s="62"/>
      <c r="V108" s="62"/>
    </row>
    <row r="109" spans="1:22" ht="12.75" customHeight="1" x14ac:dyDescent="0.25">
      <c r="A109" s="61">
        <v>503</v>
      </c>
      <c r="B109" s="62" t="s">
        <v>19</v>
      </c>
      <c r="C109" s="62" t="s">
        <v>111</v>
      </c>
      <c r="D109" s="61" t="s">
        <v>160</v>
      </c>
      <c r="E109" s="61">
        <v>16</v>
      </c>
      <c r="F109" s="61">
        <v>7</v>
      </c>
      <c r="G109" s="61">
        <v>13</v>
      </c>
      <c r="H109" s="61">
        <v>-9</v>
      </c>
      <c r="I109" s="61">
        <v>99</v>
      </c>
      <c r="J109" s="61">
        <v>99.92</v>
      </c>
      <c r="K109" s="61">
        <v>0.92390700000000003</v>
      </c>
      <c r="L109" s="61">
        <v>-0.13556000000000001</v>
      </c>
      <c r="M109" s="62" t="s">
        <v>167</v>
      </c>
      <c r="N109" s="62"/>
      <c r="O109" s="62"/>
      <c r="P109" s="62"/>
      <c r="Q109" s="62"/>
      <c r="R109" s="62"/>
      <c r="S109" s="62"/>
      <c r="T109" s="62"/>
      <c r="U109" s="62"/>
      <c r="V109" s="62"/>
    </row>
    <row r="110" spans="1:22" ht="12.75" customHeight="1" x14ac:dyDescent="0.25">
      <c r="A110" s="61">
        <v>504</v>
      </c>
      <c r="B110" s="62" t="s">
        <v>19</v>
      </c>
      <c r="C110" s="62" t="s">
        <v>111</v>
      </c>
      <c r="D110" s="61" t="s">
        <v>160</v>
      </c>
      <c r="E110" s="61">
        <v>13</v>
      </c>
      <c r="F110" s="61">
        <v>1</v>
      </c>
      <c r="G110" s="61">
        <v>5.5</v>
      </c>
      <c r="H110" s="61">
        <v>-9</v>
      </c>
      <c r="I110" s="61">
        <v>99</v>
      </c>
      <c r="J110" s="61">
        <v>107.81</v>
      </c>
      <c r="K110" s="61">
        <v>-0.17219999999999999</v>
      </c>
      <c r="L110" s="61">
        <v>-0.15129999999999999</v>
      </c>
      <c r="M110" s="62" t="s">
        <v>167</v>
      </c>
      <c r="N110" s="62"/>
      <c r="O110" s="62"/>
      <c r="P110" s="62"/>
      <c r="Q110" s="62"/>
      <c r="R110" s="62"/>
      <c r="S110" s="62"/>
      <c r="T110" s="62"/>
      <c r="U110" s="62"/>
      <c r="V110" s="62"/>
    </row>
    <row r="111" spans="1:22" ht="12.75" customHeight="1" x14ac:dyDescent="0.25">
      <c r="A111" s="61">
        <v>504</v>
      </c>
      <c r="B111" s="62" t="s">
        <v>19</v>
      </c>
      <c r="C111" s="62" t="s">
        <v>111</v>
      </c>
      <c r="D111" s="61" t="s">
        <v>160</v>
      </c>
      <c r="E111" s="61">
        <v>16</v>
      </c>
      <c r="F111" s="61">
        <v>5.5</v>
      </c>
      <c r="G111" s="61">
        <v>8.5</v>
      </c>
      <c r="H111" s="61">
        <v>-9</v>
      </c>
      <c r="I111" s="61">
        <v>99</v>
      </c>
      <c r="J111" s="61">
        <v>99.92</v>
      </c>
      <c r="K111" s="61">
        <v>0.92390700000000003</v>
      </c>
      <c r="L111" s="61">
        <v>-0.13556000000000001</v>
      </c>
      <c r="M111" s="62" t="s">
        <v>167</v>
      </c>
      <c r="N111" s="62"/>
      <c r="O111" s="62"/>
      <c r="P111" s="62"/>
      <c r="Q111" s="62"/>
      <c r="R111" s="62"/>
      <c r="S111" s="62"/>
      <c r="T111" s="62"/>
      <c r="U111" s="62"/>
      <c r="V111" s="62"/>
    </row>
    <row r="112" spans="1:22" ht="12.75" customHeight="1" x14ac:dyDescent="0.25">
      <c r="A112" s="61">
        <v>504</v>
      </c>
      <c r="B112" s="62" t="s">
        <v>19</v>
      </c>
      <c r="C112" s="62" t="s">
        <v>111</v>
      </c>
      <c r="D112" s="61" t="s">
        <v>160</v>
      </c>
      <c r="E112" s="61">
        <v>13</v>
      </c>
      <c r="F112" s="61">
        <v>8.5</v>
      </c>
      <c r="G112" s="61">
        <v>13</v>
      </c>
      <c r="H112" s="61">
        <v>-9</v>
      </c>
      <c r="I112" s="61">
        <v>99</v>
      </c>
      <c r="J112" s="61">
        <v>107.81</v>
      </c>
      <c r="K112" s="61">
        <v>-0.17219999999999999</v>
      </c>
      <c r="L112" s="61">
        <v>-0.15129999999999999</v>
      </c>
      <c r="M112" s="62" t="s">
        <v>167</v>
      </c>
      <c r="N112" s="62"/>
      <c r="O112" s="62"/>
      <c r="P112" s="62"/>
      <c r="Q112" s="62"/>
      <c r="R112" s="62"/>
      <c r="S112" s="62"/>
      <c r="T112" s="62"/>
      <c r="U112" s="62"/>
      <c r="V112" s="62"/>
    </row>
    <row r="113" spans="1:22" ht="12.75" customHeight="1" x14ac:dyDescent="0.25">
      <c r="A113" s="61">
        <v>505</v>
      </c>
      <c r="B113" s="62" t="s">
        <v>19</v>
      </c>
      <c r="C113" s="62" t="s">
        <v>111</v>
      </c>
      <c r="D113" s="61" t="s">
        <v>160</v>
      </c>
      <c r="E113" s="61">
        <v>13</v>
      </c>
      <c r="F113" s="61">
        <v>1</v>
      </c>
      <c r="G113" s="61">
        <v>5.5</v>
      </c>
      <c r="H113" s="61">
        <v>-9</v>
      </c>
      <c r="I113" s="61">
        <v>99</v>
      </c>
      <c r="J113" s="61">
        <v>107.81</v>
      </c>
      <c r="K113" s="61">
        <v>-0.17219999999999999</v>
      </c>
      <c r="L113" s="61">
        <v>-0.15129999999999999</v>
      </c>
      <c r="M113" s="62" t="s">
        <v>167</v>
      </c>
      <c r="N113" s="62"/>
      <c r="O113" s="62"/>
      <c r="P113" s="62"/>
      <c r="Q113" s="62"/>
      <c r="R113" s="62"/>
      <c r="S113" s="62"/>
      <c r="T113" s="62"/>
      <c r="U113" s="62"/>
      <c r="V113" s="62"/>
    </row>
    <row r="114" spans="1:22" ht="12.75" customHeight="1" x14ac:dyDescent="0.25">
      <c r="A114" s="61">
        <v>505</v>
      </c>
      <c r="B114" s="62" t="s">
        <v>19</v>
      </c>
      <c r="C114" s="62" t="s">
        <v>111</v>
      </c>
      <c r="D114" s="61" t="s">
        <v>160</v>
      </c>
      <c r="E114" s="61">
        <v>16</v>
      </c>
      <c r="F114" s="61">
        <v>5.5</v>
      </c>
      <c r="G114" s="61">
        <v>9</v>
      </c>
      <c r="H114" s="61">
        <v>-9</v>
      </c>
      <c r="I114" s="61">
        <v>99</v>
      </c>
      <c r="J114" s="61">
        <v>99.92</v>
      </c>
      <c r="K114" s="61">
        <v>0.92390700000000003</v>
      </c>
      <c r="L114" s="61">
        <v>-0.13556000000000001</v>
      </c>
      <c r="M114" s="62" t="s">
        <v>167</v>
      </c>
      <c r="N114" s="62"/>
      <c r="O114" s="62"/>
      <c r="P114" s="62"/>
      <c r="Q114" s="62"/>
      <c r="R114" s="62"/>
      <c r="S114" s="62"/>
      <c r="T114" s="62"/>
      <c r="U114" s="62"/>
      <c r="V114" s="62"/>
    </row>
    <row r="115" spans="1:22" ht="12.75" customHeight="1" x14ac:dyDescent="0.25">
      <c r="A115" s="61">
        <v>505</v>
      </c>
      <c r="B115" s="62" t="s">
        <v>19</v>
      </c>
      <c r="C115" s="62" t="s">
        <v>111</v>
      </c>
      <c r="D115" s="61" t="s">
        <v>160</v>
      </c>
      <c r="E115" s="61">
        <v>13</v>
      </c>
      <c r="F115" s="61">
        <v>9</v>
      </c>
      <c r="G115" s="61">
        <v>13</v>
      </c>
      <c r="H115" s="61">
        <v>-9</v>
      </c>
      <c r="I115" s="61">
        <v>99</v>
      </c>
      <c r="J115" s="61">
        <v>107.81</v>
      </c>
      <c r="K115" s="61">
        <v>-0.17219999999999999</v>
      </c>
      <c r="L115" s="61">
        <v>-0.15129999999999999</v>
      </c>
      <c r="M115" s="62" t="s">
        <v>167</v>
      </c>
      <c r="N115" s="62"/>
      <c r="O115" s="62"/>
      <c r="P115" s="62"/>
      <c r="Q115" s="62"/>
      <c r="R115" s="62"/>
      <c r="S115" s="62"/>
      <c r="T115" s="62"/>
      <c r="U115" s="62"/>
      <c r="V115" s="62"/>
    </row>
    <row r="116" spans="1:22" ht="12.75" customHeight="1" x14ac:dyDescent="0.25">
      <c r="A116" s="61">
        <v>506</v>
      </c>
      <c r="B116" s="62" t="s">
        <v>19</v>
      </c>
      <c r="C116" s="62" t="s">
        <v>111</v>
      </c>
      <c r="D116" s="61" t="s">
        <v>160</v>
      </c>
      <c r="E116" s="61">
        <v>13</v>
      </c>
      <c r="F116" s="61">
        <v>1</v>
      </c>
      <c r="G116" s="61">
        <v>5.5</v>
      </c>
      <c r="H116" s="61">
        <v>-9</v>
      </c>
      <c r="I116" s="61">
        <v>99</v>
      </c>
      <c r="J116" s="61">
        <v>107.81</v>
      </c>
      <c r="K116" s="61">
        <v>-0.17219999999999999</v>
      </c>
      <c r="L116" s="61">
        <v>-0.15129999999999999</v>
      </c>
      <c r="M116" s="62" t="s">
        <v>167</v>
      </c>
      <c r="N116" s="62"/>
      <c r="O116" s="62"/>
      <c r="P116" s="62"/>
      <c r="Q116" s="62"/>
      <c r="R116" s="62"/>
      <c r="S116" s="62"/>
      <c r="T116" s="62"/>
      <c r="U116" s="62"/>
      <c r="V116" s="62"/>
    </row>
    <row r="117" spans="1:22" ht="12.75" customHeight="1" x14ac:dyDescent="0.25">
      <c r="A117" s="61">
        <v>506</v>
      </c>
      <c r="B117" s="62" t="s">
        <v>19</v>
      </c>
      <c r="C117" s="62" t="s">
        <v>111</v>
      </c>
      <c r="D117" s="61" t="s">
        <v>160</v>
      </c>
      <c r="E117" s="61">
        <v>16</v>
      </c>
      <c r="F117" s="61">
        <v>5.5</v>
      </c>
      <c r="G117" s="61">
        <v>9.5</v>
      </c>
      <c r="H117" s="61">
        <v>-9</v>
      </c>
      <c r="I117" s="61">
        <v>99</v>
      </c>
      <c r="J117" s="61">
        <v>99.92</v>
      </c>
      <c r="K117" s="61">
        <v>0.92390700000000003</v>
      </c>
      <c r="L117" s="61">
        <v>-0.13556000000000001</v>
      </c>
      <c r="M117" s="62" t="s">
        <v>167</v>
      </c>
      <c r="N117" s="62"/>
      <c r="O117" s="62"/>
      <c r="P117" s="62"/>
      <c r="Q117" s="62"/>
      <c r="R117" s="62"/>
      <c r="S117" s="62"/>
      <c r="T117" s="62"/>
      <c r="U117" s="62"/>
      <c r="V117" s="62"/>
    </row>
    <row r="118" spans="1:22" ht="12.75" customHeight="1" x14ac:dyDescent="0.25">
      <c r="A118" s="61">
        <v>506</v>
      </c>
      <c r="B118" s="62" t="s">
        <v>19</v>
      </c>
      <c r="C118" s="62" t="s">
        <v>111</v>
      </c>
      <c r="D118" s="61" t="s">
        <v>160</v>
      </c>
      <c r="E118" s="61">
        <v>13</v>
      </c>
      <c r="F118" s="61">
        <v>9.5</v>
      </c>
      <c r="G118" s="61">
        <v>13</v>
      </c>
      <c r="H118" s="61">
        <v>-9</v>
      </c>
      <c r="I118" s="61">
        <v>99</v>
      </c>
      <c r="J118" s="61">
        <v>107.81</v>
      </c>
      <c r="K118" s="61">
        <v>-0.17219999999999999</v>
      </c>
      <c r="L118" s="61">
        <v>-0.15129999999999999</v>
      </c>
      <c r="M118" s="62" t="s">
        <v>167</v>
      </c>
      <c r="N118" s="62"/>
      <c r="O118" s="62"/>
      <c r="P118" s="62"/>
      <c r="Q118" s="62"/>
      <c r="R118" s="62"/>
      <c r="S118" s="62"/>
      <c r="T118" s="62"/>
      <c r="U118" s="62"/>
      <c r="V118" s="62"/>
    </row>
    <row r="119" spans="1:22" ht="12.75" customHeight="1" x14ac:dyDescent="0.25">
      <c r="A119" s="61">
        <v>507</v>
      </c>
      <c r="B119" s="62" t="s">
        <v>19</v>
      </c>
      <c r="C119" s="62" t="s">
        <v>111</v>
      </c>
      <c r="D119" s="61" t="s">
        <v>160</v>
      </c>
      <c r="E119" s="61">
        <v>13</v>
      </c>
      <c r="F119" s="61">
        <v>1</v>
      </c>
      <c r="G119" s="61">
        <v>5.5</v>
      </c>
      <c r="H119" s="61">
        <v>-9</v>
      </c>
      <c r="I119" s="61">
        <v>99</v>
      </c>
      <c r="J119" s="61">
        <v>107.81</v>
      </c>
      <c r="K119" s="61">
        <v>-0.17219999999999999</v>
      </c>
      <c r="L119" s="61">
        <v>-0.15129999999999999</v>
      </c>
      <c r="M119" s="62" t="s">
        <v>167</v>
      </c>
      <c r="N119" s="62"/>
      <c r="O119" s="62"/>
      <c r="P119" s="62"/>
      <c r="Q119" s="62"/>
      <c r="R119" s="62"/>
      <c r="S119" s="62"/>
      <c r="T119" s="62"/>
      <c r="U119" s="62"/>
      <c r="V119" s="62"/>
    </row>
    <row r="120" spans="1:22" ht="12.75" customHeight="1" x14ac:dyDescent="0.25">
      <c r="A120" s="61">
        <v>507</v>
      </c>
      <c r="B120" s="62" t="s">
        <v>19</v>
      </c>
      <c r="C120" s="62" t="s">
        <v>111</v>
      </c>
      <c r="D120" s="61" t="s">
        <v>160</v>
      </c>
      <c r="E120" s="61">
        <v>16</v>
      </c>
      <c r="F120" s="61">
        <v>5.5</v>
      </c>
      <c r="G120" s="61">
        <v>10</v>
      </c>
      <c r="H120" s="61">
        <v>-9</v>
      </c>
      <c r="I120" s="61">
        <v>99</v>
      </c>
      <c r="J120" s="61">
        <v>99.92</v>
      </c>
      <c r="K120" s="61">
        <v>0.92390700000000003</v>
      </c>
      <c r="L120" s="61">
        <v>-0.13556000000000001</v>
      </c>
      <c r="M120" s="62" t="s">
        <v>167</v>
      </c>
      <c r="N120" s="62"/>
      <c r="O120" s="62"/>
      <c r="P120" s="62"/>
      <c r="Q120" s="62"/>
      <c r="R120" s="62"/>
      <c r="S120" s="62"/>
      <c r="T120" s="62"/>
      <c r="U120" s="62"/>
      <c r="V120" s="62"/>
    </row>
    <row r="121" spans="1:22" ht="12.75" customHeight="1" x14ac:dyDescent="0.25">
      <c r="A121" s="61">
        <v>507</v>
      </c>
      <c r="B121" s="62" t="s">
        <v>19</v>
      </c>
      <c r="C121" s="62" t="s">
        <v>111</v>
      </c>
      <c r="D121" s="61" t="s">
        <v>160</v>
      </c>
      <c r="E121" s="61">
        <v>13</v>
      </c>
      <c r="F121" s="61">
        <v>10</v>
      </c>
      <c r="G121" s="61">
        <v>13</v>
      </c>
      <c r="H121" s="61">
        <v>-9</v>
      </c>
      <c r="I121" s="61">
        <v>99</v>
      </c>
      <c r="J121" s="61">
        <v>107.81</v>
      </c>
      <c r="K121" s="61">
        <v>-0.17219999999999999</v>
      </c>
      <c r="L121" s="61">
        <v>-0.15129999999999999</v>
      </c>
      <c r="M121" s="62" t="s">
        <v>167</v>
      </c>
      <c r="N121" s="62"/>
      <c r="O121" s="62"/>
      <c r="P121" s="62"/>
      <c r="Q121" s="62"/>
      <c r="R121" s="62"/>
      <c r="S121" s="62"/>
      <c r="T121" s="62"/>
      <c r="U121" s="62"/>
      <c r="V121" s="62"/>
    </row>
    <row r="122" spans="1:22" ht="12.75" customHeight="1" x14ac:dyDescent="0.25">
      <c r="A122" s="61">
        <v>508</v>
      </c>
      <c r="B122" s="62" t="s">
        <v>19</v>
      </c>
      <c r="C122" s="62" t="s">
        <v>111</v>
      </c>
      <c r="D122" s="61" t="s">
        <v>160</v>
      </c>
      <c r="E122" s="61">
        <v>13</v>
      </c>
      <c r="F122" s="61">
        <v>1</v>
      </c>
      <c r="G122" s="61">
        <v>6.5</v>
      </c>
      <c r="H122" s="61">
        <v>-9</v>
      </c>
      <c r="I122" s="61">
        <v>99</v>
      </c>
      <c r="J122" s="61">
        <v>107.81</v>
      </c>
      <c r="K122" s="61">
        <v>-0.17219999999999999</v>
      </c>
      <c r="L122" s="61">
        <v>-0.15129999999999999</v>
      </c>
      <c r="M122" s="62" t="s">
        <v>167</v>
      </c>
      <c r="N122" s="62"/>
      <c r="O122" s="62"/>
      <c r="P122" s="62"/>
      <c r="Q122" s="62"/>
      <c r="R122" s="62"/>
      <c r="S122" s="62"/>
      <c r="T122" s="62"/>
      <c r="U122" s="62"/>
      <c r="V122" s="62"/>
    </row>
    <row r="123" spans="1:22" ht="12.75" customHeight="1" x14ac:dyDescent="0.25">
      <c r="A123" s="61">
        <v>508</v>
      </c>
      <c r="B123" s="62" t="s">
        <v>19</v>
      </c>
      <c r="C123" s="62" t="s">
        <v>111</v>
      </c>
      <c r="D123" s="61" t="s">
        <v>160</v>
      </c>
      <c r="E123" s="61">
        <v>16</v>
      </c>
      <c r="F123" s="61">
        <v>6.5</v>
      </c>
      <c r="G123" s="61">
        <v>8</v>
      </c>
      <c r="H123" s="61">
        <v>-9</v>
      </c>
      <c r="I123" s="61">
        <v>99</v>
      </c>
      <c r="J123" s="61">
        <v>99.92</v>
      </c>
      <c r="K123" s="61">
        <v>0.92390700000000003</v>
      </c>
      <c r="L123" s="61">
        <v>-0.13556000000000001</v>
      </c>
      <c r="M123" s="62" t="s">
        <v>167</v>
      </c>
      <c r="N123" s="62"/>
      <c r="O123" s="62"/>
      <c r="P123" s="62"/>
      <c r="Q123" s="62"/>
      <c r="R123" s="62"/>
      <c r="S123" s="62"/>
      <c r="T123" s="62"/>
      <c r="U123" s="62"/>
      <c r="V123" s="62"/>
    </row>
    <row r="124" spans="1:22" ht="12.75" customHeight="1" x14ac:dyDescent="0.25">
      <c r="A124" s="61">
        <v>508</v>
      </c>
      <c r="B124" s="62" t="s">
        <v>19</v>
      </c>
      <c r="C124" s="62" t="s">
        <v>111</v>
      </c>
      <c r="D124" s="61" t="s">
        <v>160</v>
      </c>
      <c r="E124" s="61">
        <v>13</v>
      </c>
      <c r="F124" s="61">
        <v>8</v>
      </c>
      <c r="G124" s="61">
        <v>13</v>
      </c>
      <c r="H124" s="61">
        <v>-9</v>
      </c>
      <c r="I124" s="61">
        <v>99</v>
      </c>
      <c r="J124" s="61">
        <v>107.81</v>
      </c>
      <c r="K124" s="61">
        <v>-0.17219999999999999</v>
      </c>
      <c r="L124" s="61">
        <v>-0.15129999999999999</v>
      </c>
      <c r="M124" s="62" t="s">
        <v>167</v>
      </c>
      <c r="N124" s="62"/>
      <c r="O124" s="62"/>
      <c r="P124" s="62"/>
      <c r="Q124" s="62"/>
      <c r="R124" s="62"/>
      <c r="S124" s="62"/>
      <c r="T124" s="62"/>
      <c r="U124" s="62"/>
      <c r="V124" s="62"/>
    </row>
    <row r="125" spans="1:22" ht="12.75" customHeight="1" x14ac:dyDescent="0.25">
      <c r="A125" s="61">
        <v>509</v>
      </c>
      <c r="B125" s="62" t="s">
        <v>19</v>
      </c>
      <c r="C125" s="62" t="s">
        <v>111</v>
      </c>
      <c r="D125" s="61" t="s">
        <v>160</v>
      </c>
      <c r="E125" s="61">
        <v>13</v>
      </c>
      <c r="F125" s="61">
        <v>1</v>
      </c>
      <c r="G125" s="61">
        <v>6.5</v>
      </c>
      <c r="H125" s="61">
        <v>-9</v>
      </c>
      <c r="I125" s="61">
        <v>99</v>
      </c>
      <c r="J125" s="61">
        <v>107.81</v>
      </c>
      <c r="K125" s="61">
        <v>-0.17219999999999999</v>
      </c>
      <c r="L125" s="61">
        <v>-0.15129999999999999</v>
      </c>
      <c r="M125" s="62" t="s">
        <v>167</v>
      </c>
      <c r="N125" s="62"/>
      <c r="O125" s="62"/>
      <c r="P125" s="62"/>
      <c r="Q125" s="62"/>
      <c r="R125" s="62"/>
      <c r="S125" s="62"/>
      <c r="T125" s="62"/>
      <c r="U125" s="62"/>
      <c r="V125" s="62"/>
    </row>
    <row r="126" spans="1:22" ht="12.75" customHeight="1" x14ac:dyDescent="0.25">
      <c r="A126" s="61">
        <v>509</v>
      </c>
      <c r="B126" s="62" t="s">
        <v>19</v>
      </c>
      <c r="C126" s="62" t="s">
        <v>111</v>
      </c>
      <c r="D126" s="61" t="s">
        <v>160</v>
      </c>
      <c r="E126" s="61">
        <v>16</v>
      </c>
      <c r="F126" s="61">
        <v>6.5</v>
      </c>
      <c r="G126" s="61">
        <v>8.5</v>
      </c>
      <c r="H126" s="61">
        <v>-9</v>
      </c>
      <c r="I126" s="61">
        <v>99</v>
      </c>
      <c r="J126" s="61">
        <v>99.92</v>
      </c>
      <c r="K126" s="61">
        <v>0.92390700000000003</v>
      </c>
      <c r="L126" s="61">
        <v>-0.13556000000000001</v>
      </c>
      <c r="M126" s="62" t="s">
        <v>167</v>
      </c>
      <c r="N126" s="62"/>
      <c r="O126" s="62"/>
      <c r="P126" s="62"/>
      <c r="Q126" s="62"/>
      <c r="R126" s="62"/>
      <c r="S126" s="62"/>
      <c r="T126" s="62"/>
      <c r="U126" s="62"/>
      <c r="V126" s="62"/>
    </row>
    <row r="127" spans="1:22" ht="12.75" customHeight="1" x14ac:dyDescent="0.25">
      <c r="A127" s="61">
        <v>509</v>
      </c>
      <c r="B127" s="62" t="s">
        <v>19</v>
      </c>
      <c r="C127" s="62" t="s">
        <v>111</v>
      </c>
      <c r="D127" s="61" t="s">
        <v>160</v>
      </c>
      <c r="E127" s="61">
        <v>13</v>
      </c>
      <c r="F127" s="61">
        <v>8.5</v>
      </c>
      <c r="G127" s="61">
        <v>13</v>
      </c>
      <c r="H127" s="61">
        <v>-9</v>
      </c>
      <c r="I127" s="61">
        <v>99</v>
      </c>
      <c r="J127" s="61">
        <v>107.81</v>
      </c>
      <c r="K127" s="61">
        <v>-0.17219999999999999</v>
      </c>
      <c r="L127" s="61">
        <v>-0.15129999999999999</v>
      </c>
      <c r="M127" s="62" t="s">
        <v>167</v>
      </c>
      <c r="N127" s="62"/>
      <c r="O127" s="62"/>
      <c r="P127" s="62"/>
      <c r="Q127" s="62"/>
      <c r="R127" s="62"/>
      <c r="S127" s="62"/>
      <c r="T127" s="62"/>
      <c r="U127" s="62"/>
      <c r="V127" s="62"/>
    </row>
    <row r="128" spans="1:22" ht="12.75" customHeight="1" x14ac:dyDescent="0.25">
      <c r="A128" s="61">
        <v>510</v>
      </c>
      <c r="B128" s="62" t="s">
        <v>19</v>
      </c>
      <c r="C128" s="62" t="s">
        <v>111</v>
      </c>
      <c r="D128" s="61" t="s">
        <v>160</v>
      </c>
      <c r="E128" s="61">
        <v>13</v>
      </c>
      <c r="F128" s="61">
        <v>1</v>
      </c>
      <c r="G128" s="61">
        <v>6.5</v>
      </c>
      <c r="H128" s="61">
        <v>-9</v>
      </c>
      <c r="I128" s="61">
        <v>99</v>
      </c>
      <c r="J128" s="61">
        <v>107.81</v>
      </c>
      <c r="K128" s="61">
        <v>-0.17219999999999999</v>
      </c>
      <c r="L128" s="61">
        <v>-0.15129999999999999</v>
      </c>
      <c r="M128" s="62" t="s">
        <v>167</v>
      </c>
      <c r="N128" s="62"/>
      <c r="O128" s="62"/>
      <c r="P128" s="62"/>
      <c r="Q128" s="62"/>
      <c r="R128" s="62"/>
      <c r="S128" s="62"/>
      <c r="T128" s="62"/>
      <c r="U128" s="62"/>
      <c r="V128" s="62"/>
    </row>
    <row r="129" spans="1:22" ht="12.75" customHeight="1" x14ac:dyDescent="0.25">
      <c r="A129" s="61">
        <v>510</v>
      </c>
      <c r="B129" s="62" t="s">
        <v>19</v>
      </c>
      <c r="C129" s="62" t="s">
        <v>111</v>
      </c>
      <c r="D129" s="61" t="s">
        <v>160</v>
      </c>
      <c r="E129" s="61">
        <v>16</v>
      </c>
      <c r="F129" s="61">
        <v>6.5</v>
      </c>
      <c r="G129" s="61">
        <v>9</v>
      </c>
      <c r="H129" s="61">
        <v>-9</v>
      </c>
      <c r="I129" s="61">
        <v>99</v>
      </c>
      <c r="J129" s="61">
        <v>99.92</v>
      </c>
      <c r="K129" s="61">
        <v>0.92390700000000003</v>
      </c>
      <c r="L129" s="61">
        <v>-0.13556000000000001</v>
      </c>
      <c r="M129" s="62" t="s">
        <v>167</v>
      </c>
      <c r="N129" s="62"/>
      <c r="O129" s="62"/>
      <c r="P129" s="62"/>
      <c r="Q129" s="62"/>
      <c r="R129" s="62"/>
      <c r="S129" s="62"/>
      <c r="T129" s="62"/>
      <c r="U129" s="62"/>
      <c r="V129" s="62"/>
    </row>
    <row r="130" spans="1:22" ht="12.75" customHeight="1" x14ac:dyDescent="0.25">
      <c r="A130" s="61">
        <v>510</v>
      </c>
      <c r="B130" s="62" t="s">
        <v>19</v>
      </c>
      <c r="C130" s="62" t="s">
        <v>111</v>
      </c>
      <c r="D130" s="61" t="s">
        <v>160</v>
      </c>
      <c r="E130" s="61">
        <v>13</v>
      </c>
      <c r="F130" s="61">
        <v>9</v>
      </c>
      <c r="G130" s="61">
        <v>13</v>
      </c>
      <c r="H130" s="61">
        <v>-9</v>
      </c>
      <c r="I130" s="61">
        <v>99</v>
      </c>
      <c r="J130" s="61">
        <v>107.81</v>
      </c>
      <c r="K130" s="61">
        <v>-0.17219999999999999</v>
      </c>
      <c r="L130" s="61">
        <v>-0.15129999999999999</v>
      </c>
      <c r="M130" s="62" t="s">
        <v>167</v>
      </c>
      <c r="N130" s="62"/>
      <c r="O130" s="62"/>
      <c r="P130" s="62"/>
      <c r="Q130" s="62"/>
      <c r="R130" s="62"/>
      <c r="S130" s="62"/>
      <c r="T130" s="62"/>
      <c r="U130" s="62"/>
      <c r="V130" s="62"/>
    </row>
    <row r="131" spans="1:22" ht="12.75" customHeight="1" x14ac:dyDescent="0.25">
      <c r="A131" s="61">
        <v>511</v>
      </c>
      <c r="B131" s="62" t="s">
        <v>19</v>
      </c>
      <c r="C131" s="62" t="s">
        <v>111</v>
      </c>
      <c r="D131" s="61" t="s">
        <v>160</v>
      </c>
      <c r="E131" s="61">
        <v>13</v>
      </c>
      <c r="F131" s="61">
        <v>1</v>
      </c>
      <c r="G131" s="61">
        <v>6.5</v>
      </c>
      <c r="H131" s="61">
        <v>-9</v>
      </c>
      <c r="I131" s="61">
        <v>99</v>
      </c>
      <c r="J131" s="61">
        <v>107.81</v>
      </c>
      <c r="K131" s="61">
        <v>-0.17219999999999999</v>
      </c>
      <c r="L131" s="61">
        <v>-0.15129999999999999</v>
      </c>
      <c r="M131" s="62" t="s">
        <v>167</v>
      </c>
      <c r="N131" s="62"/>
      <c r="O131" s="62"/>
      <c r="P131" s="62"/>
      <c r="Q131" s="62"/>
      <c r="R131" s="62"/>
      <c r="S131" s="62"/>
      <c r="T131" s="62"/>
      <c r="U131" s="62"/>
      <c r="V131" s="62"/>
    </row>
    <row r="132" spans="1:22" ht="12.75" customHeight="1" x14ac:dyDescent="0.25">
      <c r="A132" s="61">
        <v>511</v>
      </c>
      <c r="B132" s="62" t="s">
        <v>19</v>
      </c>
      <c r="C132" s="62" t="s">
        <v>111</v>
      </c>
      <c r="D132" s="61" t="s">
        <v>160</v>
      </c>
      <c r="E132" s="61">
        <v>16</v>
      </c>
      <c r="F132" s="61">
        <v>6.5</v>
      </c>
      <c r="G132" s="61">
        <v>9.5</v>
      </c>
      <c r="H132" s="61">
        <v>-9</v>
      </c>
      <c r="I132" s="61">
        <v>99</v>
      </c>
      <c r="J132" s="61">
        <v>99.92</v>
      </c>
      <c r="K132" s="61">
        <v>0.92390700000000003</v>
      </c>
      <c r="L132" s="61">
        <v>-0.13556000000000001</v>
      </c>
      <c r="M132" s="62" t="s">
        <v>167</v>
      </c>
      <c r="N132" s="62"/>
      <c r="O132" s="62"/>
      <c r="P132" s="62"/>
      <c r="Q132" s="62"/>
      <c r="R132" s="62"/>
      <c r="S132" s="62"/>
      <c r="T132" s="62"/>
      <c r="U132" s="62"/>
      <c r="V132" s="62"/>
    </row>
    <row r="133" spans="1:22" ht="12.75" customHeight="1" x14ac:dyDescent="0.25">
      <c r="A133" s="61">
        <v>511</v>
      </c>
      <c r="B133" s="62" t="s">
        <v>19</v>
      </c>
      <c r="C133" s="62" t="s">
        <v>111</v>
      </c>
      <c r="D133" s="61" t="s">
        <v>160</v>
      </c>
      <c r="E133" s="61">
        <v>13</v>
      </c>
      <c r="F133" s="61">
        <v>9.5</v>
      </c>
      <c r="G133" s="61">
        <v>13</v>
      </c>
      <c r="H133" s="61">
        <v>-9</v>
      </c>
      <c r="I133" s="61">
        <v>99</v>
      </c>
      <c r="J133" s="61">
        <v>107.81</v>
      </c>
      <c r="K133" s="61">
        <v>-0.17219999999999999</v>
      </c>
      <c r="L133" s="61">
        <v>-0.15129999999999999</v>
      </c>
      <c r="M133" s="62" t="s">
        <v>167</v>
      </c>
      <c r="N133" s="62"/>
      <c r="O133" s="62"/>
      <c r="P133" s="62"/>
      <c r="Q133" s="62"/>
      <c r="R133" s="62"/>
      <c r="S133" s="62"/>
      <c r="T133" s="62"/>
      <c r="U133" s="62"/>
      <c r="V133" s="62"/>
    </row>
    <row r="134" spans="1:22" ht="12.75" customHeight="1" x14ac:dyDescent="0.25">
      <c r="A134" s="61">
        <v>512</v>
      </c>
      <c r="B134" s="62" t="s">
        <v>19</v>
      </c>
      <c r="C134" s="62" t="s">
        <v>111</v>
      </c>
      <c r="D134" s="61" t="s">
        <v>160</v>
      </c>
      <c r="E134" s="61">
        <v>13</v>
      </c>
      <c r="F134" s="61">
        <v>1</v>
      </c>
      <c r="G134" s="61">
        <v>6.5</v>
      </c>
      <c r="H134" s="61">
        <v>-9</v>
      </c>
      <c r="I134" s="61">
        <v>99</v>
      </c>
      <c r="J134" s="61">
        <v>107.81</v>
      </c>
      <c r="K134" s="61">
        <v>-0.17219999999999999</v>
      </c>
      <c r="L134" s="61">
        <v>-0.15129999999999999</v>
      </c>
      <c r="M134" s="62" t="s">
        <v>167</v>
      </c>
      <c r="N134" s="62"/>
      <c r="O134" s="62"/>
      <c r="P134" s="62"/>
      <c r="Q134" s="62"/>
      <c r="R134" s="62"/>
      <c r="S134" s="62"/>
      <c r="T134" s="62"/>
      <c r="U134" s="62"/>
      <c r="V134" s="62"/>
    </row>
    <row r="135" spans="1:22" ht="12.75" customHeight="1" x14ac:dyDescent="0.25">
      <c r="A135" s="61">
        <v>512</v>
      </c>
      <c r="B135" s="62" t="s">
        <v>19</v>
      </c>
      <c r="C135" s="62" t="s">
        <v>111</v>
      </c>
      <c r="D135" s="61" t="s">
        <v>160</v>
      </c>
      <c r="E135" s="61">
        <v>16</v>
      </c>
      <c r="F135" s="61">
        <v>6.5</v>
      </c>
      <c r="G135" s="61">
        <v>10</v>
      </c>
      <c r="H135" s="61">
        <v>-9</v>
      </c>
      <c r="I135" s="61">
        <v>99</v>
      </c>
      <c r="J135" s="61">
        <v>99.92</v>
      </c>
      <c r="K135" s="61">
        <v>0.92390700000000003</v>
      </c>
      <c r="L135" s="61">
        <v>-0.13556000000000001</v>
      </c>
      <c r="M135" s="62" t="s">
        <v>167</v>
      </c>
      <c r="N135" s="62"/>
      <c r="O135" s="62"/>
      <c r="P135" s="62"/>
      <c r="Q135" s="62"/>
      <c r="R135" s="62"/>
      <c r="S135" s="62"/>
      <c r="T135" s="62"/>
      <c r="U135" s="62"/>
      <c r="V135" s="62"/>
    </row>
    <row r="136" spans="1:22" ht="12.75" customHeight="1" x14ac:dyDescent="0.25">
      <c r="A136" s="61">
        <v>512</v>
      </c>
      <c r="B136" s="62" t="s">
        <v>19</v>
      </c>
      <c r="C136" s="62" t="s">
        <v>111</v>
      </c>
      <c r="D136" s="61" t="s">
        <v>160</v>
      </c>
      <c r="E136" s="61">
        <v>13</v>
      </c>
      <c r="F136" s="61">
        <v>10</v>
      </c>
      <c r="G136" s="61">
        <v>13</v>
      </c>
      <c r="H136" s="61">
        <v>-9</v>
      </c>
      <c r="I136" s="61">
        <v>99</v>
      </c>
      <c r="J136" s="61">
        <v>107.81</v>
      </c>
      <c r="K136" s="61">
        <v>-0.17219999999999999</v>
      </c>
      <c r="L136" s="61">
        <v>-0.15129999999999999</v>
      </c>
      <c r="M136" s="62" t="s">
        <v>167</v>
      </c>
      <c r="N136" s="62"/>
      <c r="O136" s="62"/>
      <c r="P136" s="62"/>
      <c r="Q136" s="62"/>
      <c r="R136" s="62"/>
      <c r="S136" s="62"/>
      <c r="T136" s="62"/>
      <c r="U136" s="62"/>
      <c r="V136" s="62"/>
    </row>
    <row r="137" spans="1:22" ht="12.75" customHeight="1" x14ac:dyDescent="0.25">
      <c r="A137" s="61">
        <v>513</v>
      </c>
      <c r="B137" s="62" t="s">
        <v>19</v>
      </c>
      <c r="C137" s="62" t="s">
        <v>111</v>
      </c>
      <c r="D137" s="61" t="s">
        <v>160</v>
      </c>
      <c r="E137" s="61">
        <v>13</v>
      </c>
      <c r="F137" s="61">
        <v>1</v>
      </c>
      <c r="G137" s="61">
        <v>7</v>
      </c>
      <c r="H137" s="61">
        <v>-9</v>
      </c>
      <c r="I137" s="61">
        <v>99</v>
      </c>
      <c r="J137" s="61">
        <v>107.81</v>
      </c>
      <c r="K137" s="61">
        <v>-0.17219999999999999</v>
      </c>
      <c r="L137" s="61">
        <v>-0.15129999999999999</v>
      </c>
      <c r="M137" s="62" t="s">
        <v>167</v>
      </c>
      <c r="N137" s="62"/>
      <c r="O137" s="62"/>
      <c r="P137" s="62"/>
      <c r="Q137" s="62"/>
      <c r="R137" s="62"/>
      <c r="S137" s="62"/>
      <c r="T137" s="62"/>
      <c r="U137" s="62"/>
      <c r="V137" s="62"/>
    </row>
    <row r="138" spans="1:22" ht="12.75" customHeight="1" x14ac:dyDescent="0.25">
      <c r="A138" s="61">
        <v>513</v>
      </c>
      <c r="B138" s="62" t="s">
        <v>19</v>
      </c>
      <c r="C138" s="62" t="s">
        <v>111</v>
      </c>
      <c r="D138" s="61" t="s">
        <v>160</v>
      </c>
      <c r="E138" s="61">
        <v>16</v>
      </c>
      <c r="F138" s="61">
        <v>7</v>
      </c>
      <c r="G138" s="61">
        <v>8.5</v>
      </c>
      <c r="H138" s="61">
        <v>-9</v>
      </c>
      <c r="I138" s="61">
        <v>99</v>
      </c>
      <c r="J138" s="61">
        <v>99.92</v>
      </c>
      <c r="K138" s="61">
        <v>0.92390700000000003</v>
      </c>
      <c r="L138" s="61">
        <v>-0.13556000000000001</v>
      </c>
      <c r="M138" s="62" t="s">
        <v>167</v>
      </c>
      <c r="N138" s="62"/>
      <c r="O138" s="62"/>
      <c r="P138" s="62"/>
      <c r="Q138" s="62"/>
      <c r="R138" s="62"/>
      <c r="S138" s="62"/>
      <c r="T138" s="62"/>
      <c r="U138" s="62"/>
      <c r="V138" s="62"/>
    </row>
    <row r="139" spans="1:22" ht="12.75" customHeight="1" x14ac:dyDescent="0.25">
      <c r="A139" s="61">
        <v>513</v>
      </c>
      <c r="B139" s="62" t="s">
        <v>19</v>
      </c>
      <c r="C139" s="62" t="s">
        <v>111</v>
      </c>
      <c r="D139" s="61" t="s">
        <v>160</v>
      </c>
      <c r="E139" s="61">
        <v>13</v>
      </c>
      <c r="F139" s="61">
        <v>8.5</v>
      </c>
      <c r="G139" s="61">
        <v>13</v>
      </c>
      <c r="H139" s="61">
        <v>-9</v>
      </c>
      <c r="I139" s="61">
        <v>99</v>
      </c>
      <c r="J139" s="61">
        <v>107.81</v>
      </c>
      <c r="K139" s="61">
        <v>-0.17219999999999999</v>
      </c>
      <c r="L139" s="61">
        <v>-0.15129999999999999</v>
      </c>
      <c r="M139" s="62" t="s">
        <v>167</v>
      </c>
      <c r="N139" s="62"/>
      <c r="O139" s="62"/>
      <c r="P139" s="62"/>
      <c r="Q139" s="62"/>
      <c r="R139" s="62"/>
      <c r="S139" s="62"/>
      <c r="T139" s="62"/>
      <c r="U139" s="62"/>
      <c r="V139" s="62"/>
    </row>
    <row r="140" spans="1:22" ht="12.75" customHeight="1" x14ac:dyDescent="0.25">
      <c r="A140" s="61">
        <v>514</v>
      </c>
      <c r="B140" s="62" t="s">
        <v>19</v>
      </c>
      <c r="C140" s="62" t="s">
        <v>111</v>
      </c>
      <c r="D140" s="61" t="s">
        <v>160</v>
      </c>
      <c r="E140" s="61">
        <v>13</v>
      </c>
      <c r="F140" s="61">
        <v>1</v>
      </c>
      <c r="G140" s="61">
        <v>7</v>
      </c>
      <c r="H140" s="61">
        <v>-9</v>
      </c>
      <c r="I140" s="61">
        <v>99</v>
      </c>
      <c r="J140" s="61">
        <v>107.81</v>
      </c>
      <c r="K140" s="61">
        <v>-0.17219999999999999</v>
      </c>
      <c r="L140" s="61">
        <v>-0.15129999999999999</v>
      </c>
      <c r="M140" s="62" t="s">
        <v>167</v>
      </c>
      <c r="N140" s="62"/>
      <c r="O140" s="62"/>
      <c r="P140" s="62"/>
      <c r="Q140" s="62"/>
      <c r="R140" s="62"/>
      <c r="S140" s="62"/>
      <c r="T140" s="62"/>
      <c r="U140" s="62"/>
      <c r="V140" s="62"/>
    </row>
    <row r="141" spans="1:22" ht="12.75" customHeight="1" x14ac:dyDescent="0.25">
      <c r="A141" s="61">
        <v>514</v>
      </c>
      <c r="B141" s="62" t="s">
        <v>19</v>
      </c>
      <c r="C141" s="62" t="s">
        <v>111</v>
      </c>
      <c r="D141" s="61" t="s">
        <v>160</v>
      </c>
      <c r="E141" s="61">
        <v>16</v>
      </c>
      <c r="F141" s="61">
        <v>7</v>
      </c>
      <c r="G141" s="61">
        <v>9</v>
      </c>
      <c r="H141" s="61">
        <v>-9</v>
      </c>
      <c r="I141" s="61">
        <v>99</v>
      </c>
      <c r="J141" s="61">
        <v>99.92</v>
      </c>
      <c r="K141" s="61">
        <v>0.92390700000000003</v>
      </c>
      <c r="L141" s="61">
        <v>-0.13556000000000001</v>
      </c>
      <c r="M141" s="62" t="s">
        <v>167</v>
      </c>
      <c r="N141" s="62"/>
      <c r="O141" s="62"/>
      <c r="P141" s="62"/>
      <c r="Q141" s="62"/>
      <c r="R141" s="62"/>
      <c r="S141" s="62"/>
      <c r="T141" s="62"/>
      <c r="U141" s="62"/>
      <c r="V141" s="62"/>
    </row>
    <row r="142" spans="1:22" ht="12.75" customHeight="1" x14ac:dyDescent="0.25">
      <c r="A142" s="61">
        <v>514</v>
      </c>
      <c r="B142" s="62" t="s">
        <v>19</v>
      </c>
      <c r="C142" s="62" t="s">
        <v>111</v>
      </c>
      <c r="D142" s="61" t="s">
        <v>160</v>
      </c>
      <c r="E142" s="61">
        <v>13</v>
      </c>
      <c r="F142" s="61">
        <v>9</v>
      </c>
      <c r="G142" s="61">
        <v>13</v>
      </c>
      <c r="H142" s="61">
        <v>-9</v>
      </c>
      <c r="I142" s="61">
        <v>99</v>
      </c>
      <c r="J142" s="61">
        <v>107.81</v>
      </c>
      <c r="K142" s="61">
        <v>-0.17219999999999999</v>
      </c>
      <c r="L142" s="61">
        <v>-0.15129999999999999</v>
      </c>
      <c r="M142" s="62" t="s">
        <v>167</v>
      </c>
      <c r="N142" s="62"/>
      <c r="O142" s="62"/>
      <c r="P142" s="62"/>
      <c r="Q142" s="62"/>
      <c r="R142" s="62"/>
      <c r="S142" s="62"/>
      <c r="T142" s="62"/>
      <c r="U142" s="62"/>
      <c r="V142" s="62"/>
    </row>
    <row r="143" spans="1:22" ht="12.75" customHeight="1" x14ac:dyDescent="0.25">
      <c r="A143" s="61">
        <v>515</v>
      </c>
      <c r="B143" s="62" t="s">
        <v>19</v>
      </c>
      <c r="C143" s="62" t="s">
        <v>111</v>
      </c>
      <c r="D143" s="61" t="s">
        <v>160</v>
      </c>
      <c r="E143" s="61">
        <v>13</v>
      </c>
      <c r="F143" s="61">
        <v>1</v>
      </c>
      <c r="G143" s="61">
        <v>7</v>
      </c>
      <c r="H143" s="61">
        <v>-9</v>
      </c>
      <c r="I143" s="61">
        <v>99</v>
      </c>
      <c r="J143" s="61">
        <v>107.81</v>
      </c>
      <c r="K143" s="61">
        <v>-0.17219999999999999</v>
      </c>
      <c r="L143" s="61">
        <v>-0.15129999999999999</v>
      </c>
      <c r="M143" s="62" t="s">
        <v>167</v>
      </c>
      <c r="N143" s="62"/>
      <c r="O143" s="62"/>
      <c r="P143" s="62"/>
      <c r="Q143" s="62"/>
      <c r="R143" s="62"/>
      <c r="S143" s="62"/>
      <c r="T143" s="62"/>
      <c r="U143" s="62"/>
      <c r="V143" s="62"/>
    </row>
    <row r="144" spans="1:22" ht="12.75" customHeight="1" x14ac:dyDescent="0.25">
      <c r="A144" s="61">
        <v>515</v>
      </c>
      <c r="B144" s="62" t="s">
        <v>19</v>
      </c>
      <c r="C144" s="62" t="s">
        <v>111</v>
      </c>
      <c r="D144" s="61" t="s">
        <v>160</v>
      </c>
      <c r="E144" s="61">
        <v>16</v>
      </c>
      <c r="F144" s="61">
        <v>7</v>
      </c>
      <c r="G144" s="61">
        <v>9.5</v>
      </c>
      <c r="H144" s="61">
        <v>-9</v>
      </c>
      <c r="I144" s="61">
        <v>99</v>
      </c>
      <c r="J144" s="61">
        <v>99.92</v>
      </c>
      <c r="K144" s="61">
        <v>0.92390700000000003</v>
      </c>
      <c r="L144" s="61">
        <v>-0.13556000000000001</v>
      </c>
      <c r="M144" s="62" t="s">
        <v>167</v>
      </c>
      <c r="N144" s="62"/>
      <c r="O144" s="62"/>
      <c r="P144" s="62"/>
      <c r="Q144" s="62"/>
      <c r="R144" s="62"/>
      <c r="S144" s="62"/>
      <c r="T144" s="62"/>
      <c r="U144" s="62"/>
      <c r="V144" s="62"/>
    </row>
    <row r="145" spans="1:22" ht="12.75" customHeight="1" x14ac:dyDescent="0.25">
      <c r="A145" s="61">
        <v>515</v>
      </c>
      <c r="B145" s="62" t="s">
        <v>19</v>
      </c>
      <c r="C145" s="62" t="s">
        <v>111</v>
      </c>
      <c r="D145" s="61" t="s">
        <v>160</v>
      </c>
      <c r="E145" s="61">
        <v>13</v>
      </c>
      <c r="F145" s="61">
        <v>9.5</v>
      </c>
      <c r="G145" s="61">
        <v>13</v>
      </c>
      <c r="H145" s="61">
        <v>-9</v>
      </c>
      <c r="I145" s="61">
        <v>99</v>
      </c>
      <c r="J145" s="61">
        <v>107.81</v>
      </c>
      <c r="K145" s="61">
        <v>-0.17219999999999999</v>
      </c>
      <c r="L145" s="61">
        <v>-0.15129999999999999</v>
      </c>
      <c r="M145" s="62" t="s">
        <v>167</v>
      </c>
      <c r="N145" s="62"/>
      <c r="O145" s="62"/>
      <c r="P145" s="62"/>
      <c r="Q145" s="62"/>
      <c r="R145" s="62"/>
      <c r="S145" s="62"/>
      <c r="T145" s="62"/>
      <c r="U145" s="62"/>
      <c r="V145" s="62"/>
    </row>
    <row r="146" spans="1:22" ht="12.75" customHeight="1" x14ac:dyDescent="0.25">
      <c r="A146" s="61">
        <v>516</v>
      </c>
      <c r="B146" s="62" t="s">
        <v>19</v>
      </c>
      <c r="C146" s="62" t="s">
        <v>111</v>
      </c>
      <c r="D146" s="61" t="s">
        <v>160</v>
      </c>
      <c r="E146" s="61">
        <v>13</v>
      </c>
      <c r="F146" s="61">
        <v>1</v>
      </c>
      <c r="G146" s="61">
        <v>7.5</v>
      </c>
      <c r="H146" s="61">
        <v>-9</v>
      </c>
      <c r="I146" s="61">
        <v>99</v>
      </c>
      <c r="J146" s="61">
        <v>107.81</v>
      </c>
      <c r="K146" s="61">
        <v>-0.17219999999999999</v>
      </c>
      <c r="L146" s="61">
        <v>-0.15129999999999999</v>
      </c>
      <c r="M146" s="62" t="s">
        <v>167</v>
      </c>
      <c r="N146" s="62"/>
      <c r="O146" s="62"/>
      <c r="P146" s="62"/>
      <c r="Q146" s="62"/>
      <c r="R146" s="62"/>
      <c r="S146" s="62"/>
      <c r="T146" s="62"/>
      <c r="U146" s="62"/>
      <c r="V146" s="62"/>
    </row>
    <row r="147" spans="1:22" ht="12.75" customHeight="1" x14ac:dyDescent="0.25">
      <c r="A147" s="61">
        <v>516</v>
      </c>
      <c r="B147" s="62" t="s">
        <v>19</v>
      </c>
      <c r="C147" s="62" t="s">
        <v>111</v>
      </c>
      <c r="D147" s="61" t="s">
        <v>160</v>
      </c>
      <c r="E147" s="61">
        <v>16</v>
      </c>
      <c r="F147" s="61">
        <v>7.5</v>
      </c>
      <c r="G147" s="61">
        <v>8</v>
      </c>
      <c r="H147" s="61">
        <v>-9</v>
      </c>
      <c r="I147" s="61">
        <v>99</v>
      </c>
      <c r="J147" s="61">
        <v>99.92</v>
      </c>
      <c r="K147" s="61">
        <v>0.92390700000000003</v>
      </c>
      <c r="L147" s="61">
        <v>-0.13556000000000001</v>
      </c>
      <c r="M147" s="62" t="s">
        <v>167</v>
      </c>
      <c r="N147" s="62"/>
      <c r="O147" s="62"/>
      <c r="P147" s="62"/>
      <c r="Q147" s="62"/>
      <c r="R147" s="62"/>
      <c r="S147" s="62"/>
      <c r="T147" s="62"/>
      <c r="U147" s="62"/>
      <c r="V147" s="62"/>
    </row>
    <row r="148" spans="1:22" ht="12.75" customHeight="1" x14ac:dyDescent="0.25">
      <c r="A148" s="61">
        <v>516</v>
      </c>
      <c r="B148" s="62" t="s">
        <v>19</v>
      </c>
      <c r="C148" s="62" t="s">
        <v>111</v>
      </c>
      <c r="D148" s="61" t="s">
        <v>160</v>
      </c>
      <c r="E148" s="61">
        <v>13</v>
      </c>
      <c r="F148" s="61">
        <v>8</v>
      </c>
      <c r="G148" s="61">
        <v>13</v>
      </c>
      <c r="H148" s="61">
        <v>-9</v>
      </c>
      <c r="I148" s="61">
        <v>99</v>
      </c>
      <c r="J148" s="61">
        <v>107.81</v>
      </c>
      <c r="K148" s="61">
        <v>-0.17219999999999999</v>
      </c>
      <c r="L148" s="61">
        <v>-0.15129999999999999</v>
      </c>
      <c r="M148" s="62" t="s">
        <v>167</v>
      </c>
      <c r="N148" s="62"/>
      <c r="O148" s="62"/>
      <c r="P148" s="62"/>
      <c r="Q148" s="62"/>
      <c r="R148" s="62"/>
      <c r="S148" s="62"/>
      <c r="T148" s="62"/>
      <c r="U148" s="62"/>
      <c r="V148" s="62"/>
    </row>
    <row r="149" spans="1:22" ht="12.75" customHeight="1" x14ac:dyDescent="0.25">
      <c r="A149" s="61">
        <v>517</v>
      </c>
      <c r="B149" s="62" t="s">
        <v>19</v>
      </c>
      <c r="C149" s="62" t="s">
        <v>111</v>
      </c>
      <c r="D149" s="61" t="s">
        <v>160</v>
      </c>
      <c r="E149" s="61">
        <v>13</v>
      </c>
      <c r="F149" s="61">
        <v>1</v>
      </c>
      <c r="G149" s="61">
        <v>7.5</v>
      </c>
      <c r="H149" s="61">
        <v>-9</v>
      </c>
      <c r="I149" s="61">
        <v>99</v>
      </c>
      <c r="J149" s="61">
        <v>107.81</v>
      </c>
      <c r="K149" s="61">
        <v>-0.17219999999999999</v>
      </c>
      <c r="L149" s="61">
        <v>-0.15129999999999999</v>
      </c>
      <c r="M149" s="62" t="s">
        <v>167</v>
      </c>
      <c r="N149" s="62"/>
      <c r="O149" s="62"/>
      <c r="P149" s="62"/>
      <c r="Q149" s="62"/>
      <c r="R149" s="62"/>
      <c r="S149" s="62"/>
      <c r="T149" s="62"/>
      <c r="U149" s="62"/>
      <c r="V149" s="62"/>
    </row>
    <row r="150" spans="1:22" ht="12.75" customHeight="1" x14ac:dyDescent="0.25">
      <c r="A150" s="61">
        <v>517</v>
      </c>
      <c r="B150" s="62" t="s">
        <v>19</v>
      </c>
      <c r="C150" s="62" t="s">
        <v>111</v>
      </c>
      <c r="D150" s="61" t="s">
        <v>160</v>
      </c>
      <c r="E150" s="61">
        <v>16</v>
      </c>
      <c r="F150" s="61">
        <v>7.5</v>
      </c>
      <c r="G150" s="61">
        <v>8.5</v>
      </c>
      <c r="H150" s="61">
        <v>-9</v>
      </c>
      <c r="I150" s="61">
        <v>99</v>
      </c>
      <c r="J150" s="61">
        <v>99.92</v>
      </c>
      <c r="K150" s="61">
        <v>0.92390700000000003</v>
      </c>
      <c r="L150" s="61">
        <v>-0.13556000000000001</v>
      </c>
      <c r="M150" s="62" t="s">
        <v>167</v>
      </c>
      <c r="N150" s="62"/>
      <c r="O150" s="62"/>
      <c r="P150" s="62"/>
      <c r="Q150" s="62"/>
      <c r="R150" s="62"/>
      <c r="S150" s="62"/>
      <c r="T150" s="62"/>
      <c r="U150" s="62"/>
      <c r="V150" s="62"/>
    </row>
    <row r="151" spans="1:22" ht="12.75" customHeight="1" x14ac:dyDescent="0.25">
      <c r="A151" s="61">
        <v>517</v>
      </c>
      <c r="B151" s="62" t="s">
        <v>19</v>
      </c>
      <c r="C151" s="62" t="s">
        <v>111</v>
      </c>
      <c r="D151" s="61" t="s">
        <v>160</v>
      </c>
      <c r="E151" s="61">
        <v>13</v>
      </c>
      <c r="F151" s="61">
        <v>8.5</v>
      </c>
      <c r="G151" s="61">
        <v>13</v>
      </c>
      <c r="H151" s="61">
        <v>-9</v>
      </c>
      <c r="I151" s="61">
        <v>99</v>
      </c>
      <c r="J151" s="61">
        <v>107.81</v>
      </c>
      <c r="K151" s="61">
        <v>-0.17219999999999999</v>
      </c>
      <c r="L151" s="61">
        <v>-0.15129999999999999</v>
      </c>
      <c r="M151" s="62" t="s">
        <v>167</v>
      </c>
      <c r="N151" s="62"/>
      <c r="O151" s="62"/>
      <c r="P151" s="62"/>
      <c r="Q151" s="62"/>
      <c r="R151" s="62"/>
      <c r="S151" s="62"/>
      <c r="T151" s="62"/>
      <c r="U151" s="62"/>
      <c r="V151" s="62"/>
    </row>
    <row r="152" spans="1:22" ht="12.75" customHeight="1" x14ac:dyDescent="0.25">
      <c r="A152" s="61">
        <v>518</v>
      </c>
      <c r="B152" s="62" t="s">
        <v>19</v>
      </c>
      <c r="C152" s="62" t="s">
        <v>111</v>
      </c>
      <c r="D152" s="61" t="s">
        <v>160</v>
      </c>
      <c r="E152" s="61">
        <v>13</v>
      </c>
      <c r="F152" s="61">
        <v>1</v>
      </c>
      <c r="G152" s="61">
        <v>7.5</v>
      </c>
      <c r="H152" s="61">
        <v>-9</v>
      </c>
      <c r="I152" s="61">
        <v>99</v>
      </c>
      <c r="J152" s="61">
        <v>107.81</v>
      </c>
      <c r="K152" s="61">
        <v>-0.17219999999999999</v>
      </c>
      <c r="L152" s="61">
        <v>-0.15129999999999999</v>
      </c>
      <c r="M152" s="62" t="s">
        <v>167</v>
      </c>
      <c r="N152" s="62"/>
      <c r="O152" s="62"/>
      <c r="P152" s="62"/>
      <c r="Q152" s="62"/>
      <c r="R152" s="62"/>
      <c r="S152" s="62"/>
      <c r="T152" s="62"/>
      <c r="U152" s="62"/>
      <c r="V152" s="62"/>
    </row>
    <row r="153" spans="1:22" ht="12.75" customHeight="1" x14ac:dyDescent="0.25">
      <c r="A153" s="61">
        <v>518</v>
      </c>
      <c r="B153" s="62" t="s">
        <v>19</v>
      </c>
      <c r="C153" s="62" t="s">
        <v>111</v>
      </c>
      <c r="D153" s="61" t="s">
        <v>160</v>
      </c>
      <c r="E153" s="61">
        <v>16</v>
      </c>
      <c r="F153" s="61">
        <v>7.5</v>
      </c>
      <c r="G153" s="61">
        <v>9</v>
      </c>
      <c r="H153" s="61">
        <v>-9</v>
      </c>
      <c r="I153" s="61">
        <v>99</v>
      </c>
      <c r="J153" s="61">
        <v>99.92</v>
      </c>
      <c r="K153" s="61">
        <v>0.92390700000000003</v>
      </c>
      <c r="L153" s="61">
        <v>-0.13556000000000001</v>
      </c>
      <c r="M153" s="62" t="s">
        <v>167</v>
      </c>
      <c r="N153" s="62"/>
      <c r="O153" s="62"/>
      <c r="P153" s="62"/>
      <c r="Q153" s="62"/>
      <c r="R153" s="62"/>
      <c r="S153" s="62"/>
      <c r="T153" s="62"/>
      <c r="U153" s="62"/>
      <c r="V153" s="62"/>
    </row>
    <row r="154" spans="1:22" ht="12.75" customHeight="1" x14ac:dyDescent="0.25">
      <c r="A154" s="61">
        <v>518</v>
      </c>
      <c r="B154" s="62" t="s">
        <v>19</v>
      </c>
      <c r="C154" s="62" t="s">
        <v>111</v>
      </c>
      <c r="D154" s="61" t="s">
        <v>160</v>
      </c>
      <c r="E154" s="61">
        <v>13</v>
      </c>
      <c r="F154" s="61">
        <v>9</v>
      </c>
      <c r="G154" s="61">
        <v>13</v>
      </c>
      <c r="H154" s="61">
        <v>-9</v>
      </c>
      <c r="I154" s="61">
        <v>99</v>
      </c>
      <c r="J154" s="61">
        <v>107.81</v>
      </c>
      <c r="K154" s="61">
        <v>-0.17219999999999999</v>
      </c>
      <c r="L154" s="61">
        <v>-0.15129999999999999</v>
      </c>
      <c r="M154" s="62" t="s">
        <v>167</v>
      </c>
      <c r="N154" s="62"/>
      <c r="O154" s="62"/>
      <c r="P154" s="62"/>
      <c r="Q154" s="62"/>
      <c r="R154" s="62"/>
      <c r="S154" s="62"/>
      <c r="T154" s="62"/>
      <c r="U154" s="62"/>
      <c r="V154" s="62"/>
    </row>
    <row r="155" spans="1:22" ht="12.75" customHeight="1" x14ac:dyDescent="0.25">
      <c r="A155" s="61">
        <v>71</v>
      </c>
      <c r="B155" s="62" t="s">
        <v>154</v>
      </c>
      <c r="C155" s="62" t="s">
        <v>76</v>
      </c>
      <c r="D155" s="61" t="s">
        <v>160</v>
      </c>
      <c r="E155" s="61">
        <v>0</v>
      </c>
      <c r="F155" s="61">
        <v>1</v>
      </c>
      <c r="G155" s="61">
        <v>6</v>
      </c>
      <c r="H155" s="61">
        <v>0</v>
      </c>
      <c r="I155" s="61">
        <v>999</v>
      </c>
      <c r="J155" s="61">
        <v>-22.304300000000001</v>
      </c>
      <c r="K155" s="61">
        <v>-31.206700000000001</v>
      </c>
      <c r="L155" s="61">
        <v>-0.90880000000000005</v>
      </c>
      <c r="M155" s="62" t="s">
        <v>28</v>
      </c>
    </row>
    <row r="156" spans="1:22" ht="12.75" customHeight="1" x14ac:dyDescent="0.25">
      <c r="A156" s="61">
        <v>71</v>
      </c>
      <c r="B156" s="62" t="s">
        <v>154</v>
      </c>
      <c r="C156" s="62" t="s">
        <v>76</v>
      </c>
      <c r="D156" s="61" t="s">
        <v>160</v>
      </c>
      <c r="E156" s="61">
        <v>0</v>
      </c>
      <c r="F156" s="61">
        <v>6</v>
      </c>
      <c r="G156" s="61">
        <v>11</v>
      </c>
      <c r="H156" s="61">
        <v>0</v>
      </c>
      <c r="I156" s="61">
        <v>999</v>
      </c>
      <c r="J156" s="61">
        <v>-45.643500000000003</v>
      </c>
      <c r="K156" s="61">
        <v>-22.435700000000001</v>
      </c>
      <c r="L156" s="61">
        <v>2.11808</v>
      </c>
      <c r="M156" s="62" t="s">
        <v>28</v>
      </c>
    </row>
    <row r="157" spans="1:22" ht="12.75" customHeight="1" x14ac:dyDescent="0.25">
      <c r="A157" s="61">
        <v>71</v>
      </c>
      <c r="B157" s="62" t="s">
        <v>154</v>
      </c>
      <c r="C157" s="62" t="s">
        <v>76</v>
      </c>
      <c r="D157" s="61" t="s">
        <v>160</v>
      </c>
      <c r="E157" s="61">
        <v>0</v>
      </c>
      <c r="F157" s="61">
        <v>11</v>
      </c>
      <c r="G157" s="61">
        <v>13</v>
      </c>
      <c r="H157" s="61">
        <v>0</v>
      </c>
      <c r="I157" s="61">
        <v>999</v>
      </c>
      <c r="J157" s="61">
        <v>-22.304300000000001</v>
      </c>
      <c r="K157" s="61">
        <v>-31.206700000000001</v>
      </c>
      <c r="L157" s="61">
        <v>-0.90880000000000005</v>
      </c>
      <c r="M157" s="62" t="s">
        <v>28</v>
      </c>
    </row>
    <row r="158" spans="1:22" ht="12.75" customHeight="1" x14ac:dyDescent="0.25">
      <c r="A158" s="61">
        <v>72</v>
      </c>
      <c r="B158" s="62" t="s">
        <v>154</v>
      </c>
      <c r="C158" s="62" t="s">
        <v>80</v>
      </c>
      <c r="D158" s="61" t="s">
        <v>160</v>
      </c>
      <c r="E158" s="61">
        <v>0</v>
      </c>
      <c r="F158" s="61">
        <v>1</v>
      </c>
      <c r="G158" s="61">
        <v>6</v>
      </c>
      <c r="H158" s="61">
        <v>0</v>
      </c>
      <c r="I158" s="61">
        <v>999</v>
      </c>
      <c r="J158" s="61">
        <v>-26.2561</v>
      </c>
      <c r="K158" s="61">
        <v>-45.216000000000001</v>
      </c>
      <c r="L158" s="61">
        <v>-3.8048299999999999</v>
      </c>
      <c r="M158" s="62" t="s">
        <v>28</v>
      </c>
    </row>
    <row r="159" spans="1:22" ht="12.75" customHeight="1" x14ac:dyDescent="0.25">
      <c r="A159" s="61">
        <v>72</v>
      </c>
      <c r="B159" s="62" t="s">
        <v>154</v>
      </c>
      <c r="C159" s="62" t="s">
        <v>80</v>
      </c>
      <c r="D159" s="61" t="s">
        <v>160</v>
      </c>
      <c r="E159" s="61">
        <v>0</v>
      </c>
      <c r="F159" s="61">
        <v>6</v>
      </c>
      <c r="G159" s="61">
        <v>11</v>
      </c>
      <c r="H159" s="61">
        <v>0</v>
      </c>
      <c r="I159" s="61">
        <v>999</v>
      </c>
      <c r="J159" s="61">
        <v>-68.002300000000005</v>
      </c>
      <c r="K159" s="61">
        <v>-57.864800000000002</v>
      </c>
      <c r="L159" s="61">
        <v>-4.5721100000000003</v>
      </c>
      <c r="M159" s="62" t="s">
        <v>28</v>
      </c>
    </row>
    <row r="160" spans="1:22" ht="12.75" customHeight="1" x14ac:dyDescent="0.25">
      <c r="A160" s="61">
        <v>72</v>
      </c>
      <c r="B160" s="62" t="s">
        <v>154</v>
      </c>
      <c r="C160" s="62" t="s">
        <v>80</v>
      </c>
      <c r="D160" s="61" t="s">
        <v>160</v>
      </c>
      <c r="E160" s="61">
        <v>0</v>
      </c>
      <c r="F160" s="61">
        <v>11</v>
      </c>
      <c r="G160" s="61">
        <v>13</v>
      </c>
      <c r="H160" s="61">
        <v>0</v>
      </c>
      <c r="I160" s="61">
        <v>999</v>
      </c>
      <c r="J160" s="61">
        <v>-26.2561</v>
      </c>
      <c r="K160" s="61">
        <v>-45.216000000000001</v>
      </c>
      <c r="L160" s="61">
        <v>-3.8048299999999999</v>
      </c>
      <c r="M160" s="62" t="s">
        <v>28</v>
      </c>
    </row>
    <row r="161" spans="1:13" ht="12.75" customHeight="1" x14ac:dyDescent="0.25">
      <c r="A161" s="61">
        <v>272</v>
      </c>
      <c r="B161" s="131" t="s">
        <v>154</v>
      </c>
      <c r="C161" s="131" t="s">
        <v>80</v>
      </c>
      <c r="D161" s="130" t="s">
        <v>184</v>
      </c>
      <c r="E161" s="130">
        <v>0</v>
      </c>
      <c r="F161" s="130">
        <v>1</v>
      </c>
      <c r="G161" s="130">
        <v>6</v>
      </c>
      <c r="H161" s="130">
        <v>0</v>
      </c>
      <c r="I161" s="130">
        <v>999</v>
      </c>
      <c r="J161" s="130">
        <v>-26.2561</v>
      </c>
      <c r="K161" s="130">
        <v>-45.216000000000001</v>
      </c>
      <c r="L161" s="130">
        <v>-3.8048299999999999</v>
      </c>
      <c r="M161" s="131" t="s">
        <v>28</v>
      </c>
    </row>
    <row r="162" spans="1:13" ht="12.75" customHeight="1" x14ac:dyDescent="0.25">
      <c r="A162" s="61">
        <v>272</v>
      </c>
      <c r="B162" s="131" t="s">
        <v>154</v>
      </c>
      <c r="C162" s="131" t="s">
        <v>80</v>
      </c>
      <c r="D162" s="130" t="s">
        <v>184</v>
      </c>
      <c r="E162" s="130">
        <v>0</v>
      </c>
      <c r="F162" s="130">
        <v>6</v>
      </c>
      <c r="G162" s="130">
        <v>11</v>
      </c>
      <c r="H162" s="130">
        <v>0</v>
      </c>
      <c r="I162" s="130">
        <v>999</v>
      </c>
      <c r="J162" s="130">
        <v>-50.905999999999999</v>
      </c>
      <c r="K162" s="130">
        <v>-3.6518999999999999</v>
      </c>
      <c r="L162" s="130">
        <v>18.805</v>
      </c>
      <c r="M162" s="131" t="s">
        <v>28</v>
      </c>
    </row>
    <row r="163" spans="1:13" ht="12.75" customHeight="1" x14ac:dyDescent="0.25">
      <c r="A163" s="61">
        <v>272</v>
      </c>
      <c r="B163" s="131" t="s">
        <v>154</v>
      </c>
      <c r="C163" s="131" t="s">
        <v>80</v>
      </c>
      <c r="D163" s="130" t="s">
        <v>184</v>
      </c>
      <c r="E163" s="130">
        <v>0</v>
      </c>
      <c r="F163" s="130">
        <v>11</v>
      </c>
      <c r="G163" s="130">
        <v>13</v>
      </c>
      <c r="H163" s="130">
        <v>0</v>
      </c>
      <c r="I163" s="130">
        <v>999</v>
      </c>
      <c r="J163" s="130">
        <v>-26.2561</v>
      </c>
      <c r="K163" s="130">
        <v>-45.216000000000001</v>
      </c>
      <c r="L163" s="130">
        <v>-3.8048299999999999</v>
      </c>
      <c r="M163" s="131" t="s">
        <v>28</v>
      </c>
    </row>
    <row r="164" spans="1:13" ht="12.75" customHeight="1" x14ac:dyDescent="0.25">
      <c r="A164" s="61">
        <v>73</v>
      </c>
      <c r="B164" s="62" t="s">
        <v>154</v>
      </c>
      <c r="C164" s="62" t="s">
        <v>79</v>
      </c>
      <c r="D164" s="61" t="s">
        <v>160</v>
      </c>
      <c r="E164" s="61">
        <v>0</v>
      </c>
      <c r="F164" s="61">
        <v>1</v>
      </c>
      <c r="G164" s="61">
        <v>6</v>
      </c>
      <c r="H164" s="61">
        <v>0</v>
      </c>
      <c r="I164" s="61">
        <v>999</v>
      </c>
      <c r="J164" s="61">
        <v>-26.6586</v>
      </c>
      <c r="K164" s="61">
        <v>-13.732699999999999</v>
      </c>
      <c r="L164" s="61">
        <v>3.0929500000000001</v>
      </c>
      <c r="M164" s="62" t="s">
        <v>28</v>
      </c>
    </row>
    <row r="165" spans="1:13" ht="12.75" customHeight="1" x14ac:dyDescent="0.25">
      <c r="A165" s="61">
        <v>73</v>
      </c>
      <c r="B165" s="62" t="s">
        <v>154</v>
      </c>
      <c r="C165" s="62" t="s">
        <v>79</v>
      </c>
      <c r="D165" s="61" t="s">
        <v>160</v>
      </c>
      <c r="E165" s="61">
        <v>0</v>
      </c>
      <c r="F165" s="61">
        <v>6</v>
      </c>
      <c r="G165" s="61">
        <v>11</v>
      </c>
      <c r="H165" s="61">
        <v>0</v>
      </c>
      <c r="I165" s="61">
        <v>999</v>
      </c>
      <c r="J165" s="61">
        <v>-82.350999999999999</v>
      </c>
      <c r="K165" s="61">
        <v>-38.609099999999998</v>
      </c>
      <c r="L165" s="61">
        <v>0</v>
      </c>
      <c r="M165" s="62" t="s">
        <v>28</v>
      </c>
    </row>
    <row r="166" spans="1:13" ht="12.75" customHeight="1" x14ac:dyDescent="0.25">
      <c r="A166" s="61">
        <v>73</v>
      </c>
      <c r="B166" s="62" t="s">
        <v>154</v>
      </c>
      <c r="C166" s="62" t="s">
        <v>79</v>
      </c>
      <c r="D166" s="61" t="s">
        <v>160</v>
      </c>
      <c r="E166" s="61">
        <v>0</v>
      </c>
      <c r="F166" s="61">
        <v>11</v>
      </c>
      <c r="G166" s="61">
        <v>13</v>
      </c>
      <c r="H166" s="61">
        <v>0</v>
      </c>
      <c r="I166" s="61">
        <v>999</v>
      </c>
      <c r="J166" s="61">
        <v>-26.6586</v>
      </c>
      <c r="K166" s="61">
        <v>-13.732699999999999</v>
      </c>
      <c r="L166" s="61">
        <v>3.0929500000000001</v>
      </c>
      <c r="M166" s="62" t="s">
        <v>28</v>
      </c>
    </row>
    <row r="167" spans="1:13" ht="12.75" customHeight="1" x14ac:dyDescent="0.25">
      <c r="A167" s="61">
        <v>74</v>
      </c>
      <c r="B167" s="62" t="s">
        <v>154</v>
      </c>
      <c r="C167" s="62" t="s">
        <v>81</v>
      </c>
      <c r="D167" s="61" t="s">
        <v>160</v>
      </c>
      <c r="E167" s="61">
        <v>0</v>
      </c>
      <c r="F167" s="61">
        <v>1</v>
      </c>
      <c r="G167" s="61">
        <v>6</v>
      </c>
      <c r="H167" s="61">
        <v>0</v>
      </c>
      <c r="I167" s="61">
        <v>999</v>
      </c>
      <c r="J167" s="61">
        <v>24.1568</v>
      </c>
      <c r="K167" s="61">
        <v>-26.811299999999999</v>
      </c>
      <c r="L167" s="61">
        <v>-2.1863600000000001</v>
      </c>
      <c r="M167" s="62" t="s">
        <v>28</v>
      </c>
    </row>
    <row r="168" spans="1:13" ht="12.75" customHeight="1" x14ac:dyDescent="0.25">
      <c r="A168" s="61">
        <v>74</v>
      </c>
      <c r="B168" s="62" t="s">
        <v>154</v>
      </c>
      <c r="C168" s="62" t="s">
        <v>81</v>
      </c>
      <c r="D168" s="61" t="s">
        <v>160</v>
      </c>
      <c r="E168" s="61">
        <v>0</v>
      </c>
      <c r="F168" s="61">
        <v>6</v>
      </c>
      <c r="G168" s="61">
        <v>11</v>
      </c>
      <c r="H168" s="61">
        <v>0</v>
      </c>
      <c r="I168" s="61">
        <v>999</v>
      </c>
      <c r="J168" s="61">
        <v>28.3779</v>
      </c>
      <c r="K168" s="61">
        <v>-17.2759</v>
      </c>
      <c r="L168" s="61">
        <v>-0.2800899</v>
      </c>
      <c r="M168" s="62" t="s">
        <v>28</v>
      </c>
    </row>
    <row r="169" spans="1:13" ht="12.75" customHeight="1" x14ac:dyDescent="0.25">
      <c r="A169" s="61">
        <v>74</v>
      </c>
      <c r="B169" s="62" t="s">
        <v>154</v>
      </c>
      <c r="C169" s="62" t="s">
        <v>81</v>
      </c>
      <c r="D169" s="61" t="s">
        <v>160</v>
      </c>
      <c r="E169" s="61">
        <v>0</v>
      </c>
      <c r="F169" s="61">
        <v>11</v>
      </c>
      <c r="G169" s="61">
        <v>13</v>
      </c>
      <c r="H169" s="61">
        <v>0</v>
      </c>
      <c r="I169" s="61">
        <v>999</v>
      </c>
      <c r="J169" s="61">
        <v>24.1568</v>
      </c>
      <c r="K169" s="61">
        <v>-26.811299999999999</v>
      </c>
      <c r="L169" s="61">
        <v>-2.1863600000000001</v>
      </c>
      <c r="M169" s="62" t="s">
        <v>28</v>
      </c>
    </row>
    <row r="170" spans="1:13" ht="12.75" customHeight="1" x14ac:dyDescent="0.25">
      <c r="A170" s="61">
        <v>75</v>
      </c>
      <c r="B170" s="62" t="s">
        <v>154</v>
      </c>
      <c r="C170" s="62" t="s">
        <v>77</v>
      </c>
      <c r="D170" s="61" t="s">
        <v>160</v>
      </c>
      <c r="E170" s="61">
        <v>0</v>
      </c>
      <c r="F170" s="61">
        <v>1</v>
      </c>
      <c r="G170" s="61">
        <v>6</v>
      </c>
      <c r="H170" s="61">
        <v>0</v>
      </c>
      <c r="I170" s="61">
        <v>999</v>
      </c>
      <c r="J170" s="61">
        <v>-57.611699999999999</v>
      </c>
      <c r="K170" s="61">
        <v>-58.0565</v>
      </c>
      <c r="L170" s="61">
        <v>-5.11388</v>
      </c>
      <c r="M170" s="62" t="s">
        <v>28</v>
      </c>
    </row>
    <row r="171" spans="1:13" ht="12.75" customHeight="1" x14ac:dyDescent="0.25">
      <c r="A171" s="61">
        <v>75</v>
      </c>
      <c r="B171" s="62" t="s">
        <v>154</v>
      </c>
      <c r="C171" s="62" t="s">
        <v>77</v>
      </c>
      <c r="D171" s="61" t="s">
        <v>160</v>
      </c>
      <c r="E171" s="61">
        <v>0</v>
      </c>
      <c r="F171" s="61">
        <v>6</v>
      </c>
      <c r="G171" s="61">
        <v>11</v>
      </c>
      <c r="H171" s="61">
        <v>0</v>
      </c>
      <c r="I171" s="61">
        <v>999</v>
      </c>
      <c r="J171" s="61">
        <v>-39.280500000000004</v>
      </c>
      <c r="K171" s="61">
        <v>-29.718699999999998</v>
      </c>
      <c r="L171" s="61">
        <v>0.2257024</v>
      </c>
      <c r="M171" s="62" t="s">
        <v>28</v>
      </c>
    </row>
    <row r="172" spans="1:13" ht="12.75" customHeight="1" x14ac:dyDescent="0.25">
      <c r="A172" s="61">
        <v>75</v>
      </c>
      <c r="B172" s="62" t="s">
        <v>154</v>
      </c>
      <c r="C172" s="62" t="s">
        <v>77</v>
      </c>
      <c r="D172" s="61" t="s">
        <v>160</v>
      </c>
      <c r="E172" s="61">
        <v>0</v>
      </c>
      <c r="F172" s="61">
        <v>11</v>
      </c>
      <c r="G172" s="61">
        <v>13</v>
      </c>
      <c r="H172" s="61">
        <v>0</v>
      </c>
      <c r="I172" s="61">
        <v>999</v>
      </c>
      <c r="J172" s="61">
        <v>-57.611699999999999</v>
      </c>
      <c r="K172" s="61">
        <v>-58.0565</v>
      </c>
      <c r="L172" s="61">
        <v>-5.11388</v>
      </c>
      <c r="M172" s="62" t="s">
        <v>28</v>
      </c>
    </row>
    <row r="173" spans="1:13" ht="12.75" customHeight="1" x14ac:dyDescent="0.25">
      <c r="A173" s="61">
        <v>61</v>
      </c>
      <c r="B173" s="62" t="s">
        <v>157</v>
      </c>
      <c r="C173" s="62" t="s">
        <v>76</v>
      </c>
      <c r="D173" s="61" t="s">
        <v>160</v>
      </c>
      <c r="E173" s="61">
        <v>0</v>
      </c>
      <c r="F173" s="61">
        <v>1</v>
      </c>
      <c r="G173" s="61">
        <v>6</v>
      </c>
      <c r="H173" s="61">
        <v>0</v>
      </c>
      <c r="I173" s="61">
        <v>999</v>
      </c>
      <c r="J173" s="61">
        <v>102.3021</v>
      </c>
      <c r="K173" s="61">
        <v>-43.188200000000002</v>
      </c>
      <c r="L173" s="61">
        <v>-19.764099999999999</v>
      </c>
      <c r="M173" s="62" t="s">
        <v>78</v>
      </c>
    </row>
    <row r="174" spans="1:13" ht="12.75" customHeight="1" x14ac:dyDescent="0.25">
      <c r="A174" s="61">
        <v>61</v>
      </c>
      <c r="B174" s="62" t="s">
        <v>157</v>
      </c>
      <c r="C174" s="62" t="s">
        <v>76</v>
      </c>
      <c r="D174" s="61" t="s">
        <v>160</v>
      </c>
      <c r="E174" s="61">
        <v>0</v>
      </c>
      <c r="F174" s="61">
        <v>6</v>
      </c>
      <c r="G174" s="61">
        <v>11</v>
      </c>
      <c r="H174" s="61">
        <v>0</v>
      </c>
      <c r="I174" s="61">
        <v>999</v>
      </c>
      <c r="J174" s="61">
        <v>102.9609</v>
      </c>
      <c r="K174" s="61">
        <v>-95.946299999999994</v>
      </c>
      <c r="L174" s="61">
        <v>0</v>
      </c>
      <c r="M174" s="62" t="s">
        <v>78</v>
      </c>
    </row>
    <row r="175" spans="1:13" ht="12.75" customHeight="1" x14ac:dyDescent="0.25">
      <c r="A175" s="61">
        <v>61</v>
      </c>
      <c r="B175" s="62" t="s">
        <v>157</v>
      </c>
      <c r="C175" s="62" t="s">
        <v>76</v>
      </c>
      <c r="D175" s="61" t="s">
        <v>160</v>
      </c>
      <c r="E175" s="61">
        <v>0</v>
      </c>
      <c r="F175" s="61">
        <v>11</v>
      </c>
      <c r="G175" s="61">
        <v>13</v>
      </c>
      <c r="H175" s="61">
        <v>0</v>
      </c>
      <c r="I175" s="61">
        <v>999</v>
      </c>
      <c r="J175" s="61">
        <v>102.3021</v>
      </c>
      <c r="K175" s="61">
        <v>-43.188200000000002</v>
      </c>
      <c r="L175" s="61">
        <v>-19.764099999999999</v>
      </c>
      <c r="M175" s="62" t="s">
        <v>78</v>
      </c>
    </row>
    <row r="176" spans="1:13" ht="12.75" customHeight="1" x14ac:dyDescent="0.25">
      <c r="A176" s="61">
        <v>62</v>
      </c>
      <c r="B176" s="62" t="s">
        <v>157</v>
      </c>
      <c r="C176" s="62" t="s">
        <v>80</v>
      </c>
      <c r="D176" s="61" t="s">
        <v>160</v>
      </c>
      <c r="E176" s="61">
        <v>0</v>
      </c>
      <c r="F176" s="61">
        <v>1</v>
      </c>
      <c r="G176" s="61">
        <v>6</v>
      </c>
      <c r="H176" s="61">
        <v>0</v>
      </c>
      <c r="I176" s="61">
        <v>999</v>
      </c>
      <c r="J176" s="61">
        <v>102.55</v>
      </c>
      <c r="K176" s="61">
        <v>-3.8620199999999998</v>
      </c>
      <c r="L176" s="61">
        <v>-61.136400000000002</v>
      </c>
      <c r="M176" s="62" t="s">
        <v>78</v>
      </c>
    </row>
    <row r="177" spans="1:13" ht="12.75" customHeight="1" x14ac:dyDescent="0.25">
      <c r="A177" s="61">
        <v>62</v>
      </c>
      <c r="B177" s="62" t="s">
        <v>157</v>
      </c>
      <c r="C177" s="62" t="s">
        <v>80</v>
      </c>
      <c r="D177" s="61" t="s">
        <v>160</v>
      </c>
      <c r="E177" s="61">
        <v>0</v>
      </c>
      <c r="F177" s="61">
        <v>6</v>
      </c>
      <c r="G177" s="61">
        <v>11</v>
      </c>
      <c r="H177" s="61">
        <v>0</v>
      </c>
      <c r="I177" s="61">
        <v>999</v>
      </c>
      <c r="J177" s="61">
        <v>103.47790000000001</v>
      </c>
      <c r="K177" s="61">
        <v>-42.563600000000001</v>
      </c>
      <c r="L177" s="61">
        <v>-51.561100000000003</v>
      </c>
      <c r="M177" s="62" t="s">
        <v>78</v>
      </c>
    </row>
    <row r="178" spans="1:13" ht="12.75" customHeight="1" x14ac:dyDescent="0.25">
      <c r="A178" s="61">
        <v>62</v>
      </c>
      <c r="B178" s="62" t="s">
        <v>157</v>
      </c>
      <c r="C178" s="62" t="s">
        <v>80</v>
      </c>
      <c r="D178" s="61" t="s">
        <v>160</v>
      </c>
      <c r="E178" s="61">
        <v>0</v>
      </c>
      <c r="F178" s="61">
        <v>11</v>
      </c>
      <c r="G178" s="61">
        <v>13</v>
      </c>
      <c r="H178" s="61">
        <v>0</v>
      </c>
      <c r="I178" s="61">
        <v>999</v>
      </c>
      <c r="J178" s="61">
        <v>102.55</v>
      </c>
      <c r="K178" s="61">
        <v>-3.8620199999999998</v>
      </c>
      <c r="L178" s="61">
        <v>-61.136400000000002</v>
      </c>
      <c r="M178" s="62" t="s">
        <v>78</v>
      </c>
    </row>
    <row r="179" spans="1:13" ht="12.75" customHeight="1" x14ac:dyDescent="0.25">
      <c r="A179" s="130">
        <v>262</v>
      </c>
      <c r="B179" s="131" t="s">
        <v>157</v>
      </c>
      <c r="C179" s="131" t="s">
        <v>80</v>
      </c>
      <c r="D179" s="130" t="s">
        <v>184</v>
      </c>
      <c r="E179" s="130">
        <v>0</v>
      </c>
      <c r="F179" s="130">
        <v>1</v>
      </c>
      <c r="G179" s="130">
        <v>6</v>
      </c>
      <c r="H179" s="130">
        <v>0</v>
      </c>
      <c r="I179" s="130">
        <v>999</v>
      </c>
      <c r="J179" s="130">
        <v>137</v>
      </c>
      <c r="K179" s="130">
        <v>-38.326000000000001</v>
      </c>
      <c r="L179" s="130">
        <v>-0.14319999999999999</v>
      </c>
      <c r="M179" s="131" t="s">
        <v>78</v>
      </c>
    </row>
    <row r="180" spans="1:13" ht="12.75" customHeight="1" x14ac:dyDescent="0.25">
      <c r="A180" s="130">
        <v>262</v>
      </c>
      <c r="B180" s="131" t="s">
        <v>157</v>
      </c>
      <c r="C180" s="131" t="s">
        <v>80</v>
      </c>
      <c r="D180" s="130" t="s">
        <v>184</v>
      </c>
      <c r="E180" s="130">
        <v>0</v>
      </c>
      <c r="F180" s="130">
        <v>6</v>
      </c>
      <c r="G180" s="130">
        <v>11</v>
      </c>
      <c r="H180" s="130">
        <v>0</v>
      </c>
      <c r="I180" s="130">
        <v>999</v>
      </c>
      <c r="J180" s="130">
        <v>230.08</v>
      </c>
      <c r="K180" s="130">
        <v>-125.27</v>
      </c>
      <c r="L180" s="130">
        <v>13.792</v>
      </c>
      <c r="M180" s="131" t="s">
        <v>78</v>
      </c>
    </row>
    <row r="181" spans="1:13" ht="12.75" customHeight="1" x14ac:dyDescent="0.25">
      <c r="A181" s="130">
        <v>262</v>
      </c>
      <c r="B181" s="131" t="s">
        <v>157</v>
      </c>
      <c r="C181" s="131" t="s">
        <v>80</v>
      </c>
      <c r="D181" s="130" t="s">
        <v>184</v>
      </c>
      <c r="E181" s="130">
        <v>0</v>
      </c>
      <c r="F181" s="130">
        <v>11</v>
      </c>
      <c r="G181" s="130">
        <v>13</v>
      </c>
      <c r="H181" s="130">
        <v>0</v>
      </c>
      <c r="I181" s="130">
        <v>999</v>
      </c>
      <c r="J181" s="130">
        <v>137</v>
      </c>
      <c r="K181" s="130">
        <v>-38.326000000000001</v>
      </c>
      <c r="L181" s="130">
        <v>-0.14319999999999999</v>
      </c>
      <c r="M181" s="131" t="s">
        <v>78</v>
      </c>
    </row>
    <row r="182" spans="1:13" ht="12.75" customHeight="1" x14ac:dyDescent="0.25">
      <c r="A182" s="61">
        <v>63</v>
      </c>
      <c r="B182" s="62" t="s">
        <v>157</v>
      </c>
      <c r="C182" s="62" t="s">
        <v>79</v>
      </c>
      <c r="D182" s="61" t="s">
        <v>160</v>
      </c>
      <c r="E182" s="61">
        <v>0</v>
      </c>
      <c r="F182" s="61">
        <v>1</v>
      </c>
      <c r="G182" s="61">
        <v>6</v>
      </c>
      <c r="H182" s="61">
        <v>0</v>
      </c>
      <c r="I182" s="61">
        <v>999</v>
      </c>
      <c r="J182" s="61">
        <v>113.2895</v>
      </c>
      <c r="K182" s="61">
        <v>-239.5035</v>
      </c>
      <c r="L182" s="61">
        <v>0</v>
      </c>
      <c r="M182" s="62" t="s">
        <v>78</v>
      </c>
    </row>
    <row r="183" spans="1:13" ht="12.75" customHeight="1" x14ac:dyDescent="0.25">
      <c r="A183" s="61">
        <v>63</v>
      </c>
      <c r="B183" s="62" t="s">
        <v>157</v>
      </c>
      <c r="C183" s="62" t="s">
        <v>79</v>
      </c>
      <c r="D183" s="61" t="s">
        <v>160</v>
      </c>
      <c r="E183" s="61">
        <v>0</v>
      </c>
      <c r="F183" s="61">
        <v>6</v>
      </c>
      <c r="G183" s="61">
        <v>11</v>
      </c>
      <c r="H183" s="61">
        <v>0</v>
      </c>
      <c r="I183" s="61">
        <v>999</v>
      </c>
      <c r="J183" s="61">
        <v>109.63</v>
      </c>
      <c r="K183" s="61">
        <v>-296.29599999999999</v>
      </c>
      <c r="L183" s="61">
        <v>0</v>
      </c>
      <c r="M183" s="62" t="s">
        <v>78</v>
      </c>
    </row>
    <row r="184" spans="1:13" ht="12.75" customHeight="1" x14ac:dyDescent="0.25">
      <c r="A184" s="61">
        <v>63</v>
      </c>
      <c r="B184" s="62" t="s">
        <v>157</v>
      </c>
      <c r="C184" s="62" t="s">
        <v>79</v>
      </c>
      <c r="D184" s="61" t="s">
        <v>160</v>
      </c>
      <c r="E184" s="61">
        <v>0</v>
      </c>
      <c r="F184" s="61">
        <v>11</v>
      </c>
      <c r="G184" s="61">
        <v>13</v>
      </c>
      <c r="H184" s="61">
        <v>0</v>
      </c>
      <c r="I184" s="61">
        <v>999</v>
      </c>
      <c r="J184" s="61">
        <v>113.2895</v>
      </c>
      <c r="K184" s="61">
        <v>-239.5035</v>
      </c>
      <c r="L184" s="61">
        <v>0</v>
      </c>
      <c r="M184" s="62" t="s">
        <v>78</v>
      </c>
    </row>
    <row r="185" spans="1:13" ht="12.75" customHeight="1" x14ac:dyDescent="0.25">
      <c r="A185" s="61">
        <v>64</v>
      </c>
      <c r="B185" s="62" t="s">
        <v>157</v>
      </c>
      <c r="C185" s="62" t="s">
        <v>81</v>
      </c>
      <c r="D185" s="61" t="s">
        <v>160</v>
      </c>
      <c r="E185" s="61">
        <v>0</v>
      </c>
      <c r="F185" s="61">
        <v>1</v>
      </c>
      <c r="G185" s="61">
        <v>6</v>
      </c>
      <c r="H185" s="61">
        <v>0</v>
      </c>
      <c r="I185" s="61">
        <v>999</v>
      </c>
      <c r="J185" s="61">
        <v>100.9614</v>
      </c>
      <c r="K185" s="61">
        <v>-15.1479</v>
      </c>
      <c r="L185" s="61">
        <v>0.66225500000000004</v>
      </c>
      <c r="M185" s="62" t="s">
        <v>78</v>
      </c>
    </row>
    <row r="186" spans="1:13" ht="12.75" customHeight="1" x14ac:dyDescent="0.25">
      <c r="A186" s="61">
        <v>64</v>
      </c>
      <c r="B186" s="62" t="s">
        <v>157</v>
      </c>
      <c r="C186" s="62" t="s">
        <v>81</v>
      </c>
      <c r="D186" s="61" t="s">
        <v>160</v>
      </c>
      <c r="E186" s="61">
        <v>0</v>
      </c>
      <c r="F186" s="61">
        <v>6</v>
      </c>
      <c r="G186" s="61">
        <v>11</v>
      </c>
      <c r="H186" s="61">
        <v>0</v>
      </c>
      <c r="I186" s="61">
        <v>999</v>
      </c>
      <c r="J186" s="61">
        <v>100</v>
      </c>
      <c r="K186" s="61">
        <v>-14.14</v>
      </c>
      <c r="L186" s="61">
        <v>0</v>
      </c>
      <c r="M186" s="62" t="s">
        <v>78</v>
      </c>
    </row>
    <row r="187" spans="1:13" ht="12.75" customHeight="1" x14ac:dyDescent="0.25">
      <c r="A187" s="61">
        <v>64</v>
      </c>
      <c r="B187" s="62" t="s">
        <v>157</v>
      </c>
      <c r="C187" s="62" t="s">
        <v>81</v>
      </c>
      <c r="D187" s="61" t="s">
        <v>160</v>
      </c>
      <c r="E187" s="61">
        <v>0</v>
      </c>
      <c r="F187" s="61">
        <v>11</v>
      </c>
      <c r="G187" s="61">
        <v>13</v>
      </c>
      <c r="H187" s="61">
        <v>0</v>
      </c>
      <c r="I187" s="61">
        <v>999</v>
      </c>
      <c r="J187" s="61">
        <v>100.9614</v>
      </c>
      <c r="K187" s="61">
        <v>-15.1479</v>
      </c>
      <c r="L187" s="61">
        <v>0.66225500000000004</v>
      </c>
      <c r="M187" s="62" t="s">
        <v>78</v>
      </c>
    </row>
    <row r="188" spans="1:13" ht="12.75" customHeight="1" x14ac:dyDescent="0.25">
      <c r="A188" s="61">
        <v>65</v>
      </c>
      <c r="B188" s="62" t="s">
        <v>157</v>
      </c>
      <c r="C188" s="62" t="s">
        <v>77</v>
      </c>
      <c r="D188" s="61" t="s">
        <v>160</v>
      </c>
      <c r="E188" s="61">
        <v>0</v>
      </c>
      <c r="F188" s="61">
        <v>1</v>
      </c>
      <c r="G188" s="61">
        <v>6</v>
      </c>
      <c r="H188" s="61">
        <v>0</v>
      </c>
      <c r="I188" s="61">
        <v>999</v>
      </c>
      <c r="J188" s="61">
        <v>100.3186</v>
      </c>
      <c r="K188" s="61">
        <v>4.9997999999999996</v>
      </c>
      <c r="L188" s="61">
        <v>-31.269100000000002</v>
      </c>
      <c r="M188" s="62" t="s">
        <v>78</v>
      </c>
    </row>
    <row r="189" spans="1:13" ht="12.75" customHeight="1" x14ac:dyDescent="0.25">
      <c r="A189" s="61">
        <v>65</v>
      </c>
      <c r="B189" s="62" t="s">
        <v>157</v>
      </c>
      <c r="C189" s="62" t="s">
        <v>77</v>
      </c>
      <c r="D189" s="61" t="s">
        <v>160</v>
      </c>
      <c r="E189" s="61">
        <v>0</v>
      </c>
      <c r="F189" s="61">
        <v>6</v>
      </c>
      <c r="G189" s="61">
        <v>11</v>
      </c>
      <c r="H189" s="61">
        <v>0</v>
      </c>
      <c r="I189" s="61">
        <v>999</v>
      </c>
      <c r="J189" s="61">
        <v>100</v>
      </c>
      <c r="K189" s="61">
        <v>10</v>
      </c>
      <c r="L189" s="61">
        <v>-35</v>
      </c>
      <c r="M189" s="62" t="s">
        <v>78</v>
      </c>
    </row>
    <row r="190" spans="1:13" ht="12.75" customHeight="1" x14ac:dyDescent="0.25">
      <c r="A190" s="61">
        <v>65</v>
      </c>
      <c r="B190" s="62" t="s">
        <v>157</v>
      </c>
      <c r="C190" s="62" t="s">
        <v>77</v>
      </c>
      <c r="D190" s="61" t="s">
        <v>160</v>
      </c>
      <c r="E190" s="61">
        <v>0</v>
      </c>
      <c r="F190" s="61">
        <v>11</v>
      </c>
      <c r="G190" s="61">
        <v>13</v>
      </c>
      <c r="H190" s="61">
        <v>0</v>
      </c>
      <c r="I190" s="61">
        <v>999</v>
      </c>
      <c r="J190" s="61">
        <v>100.3186</v>
      </c>
      <c r="K190" s="61">
        <v>4.9997999999999996</v>
      </c>
      <c r="L190" s="61">
        <v>-31.269100000000002</v>
      </c>
      <c r="M190" s="62" t="s">
        <v>78</v>
      </c>
    </row>
    <row r="191" spans="1:13" ht="12.75" customHeight="1" x14ac:dyDescent="0.25">
      <c r="A191" s="61">
        <v>91</v>
      </c>
      <c r="B191" s="62" t="s">
        <v>102</v>
      </c>
      <c r="C191" s="62" t="s">
        <v>76</v>
      </c>
      <c r="D191" s="61" t="s">
        <v>75</v>
      </c>
      <c r="E191" s="61">
        <v>0</v>
      </c>
      <c r="F191" s="61">
        <v>1</v>
      </c>
      <c r="G191" s="61">
        <v>6</v>
      </c>
      <c r="H191" s="61">
        <v>0</v>
      </c>
      <c r="I191" s="61">
        <v>999999</v>
      </c>
      <c r="J191" s="61">
        <v>99.662099999999995</v>
      </c>
      <c r="K191" s="61">
        <v>-4.0524699999999996</v>
      </c>
      <c r="L191" s="61">
        <v>-2.0052599999999998</v>
      </c>
      <c r="M191" s="62" t="s">
        <v>28</v>
      </c>
    </row>
    <row r="192" spans="1:13" ht="12.75" customHeight="1" x14ac:dyDescent="0.25">
      <c r="A192" s="61">
        <v>91</v>
      </c>
      <c r="B192" s="62" t="s">
        <v>102</v>
      </c>
      <c r="C192" s="62" t="s">
        <v>76</v>
      </c>
      <c r="D192" s="61" t="s">
        <v>75</v>
      </c>
      <c r="E192" s="61">
        <v>0</v>
      </c>
      <c r="F192" s="61">
        <v>6</v>
      </c>
      <c r="G192" s="61">
        <v>11</v>
      </c>
      <c r="H192" s="61">
        <v>0</v>
      </c>
      <c r="I192" s="61">
        <v>999999</v>
      </c>
      <c r="J192" s="61">
        <v>92.357900000000001</v>
      </c>
      <c r="K192" s="61">
        <v>-14.113300000000001</v>
      </c>
      <c r="L192" s="61">
        <v>-1.1456999999999999</v>
      </c>
      <c r="M192" s="62" t="s">
        <v>28</v>
      </c>
    </row>
    <row r="193" spans="1:13" ht="12.75" customHeight="1" x14ac:dyDescent="0.25">
      <c r="A193" s="61">
        <v>91</v>
      </c>
      <c r="B193" s="62" t="s">
        <v>102</v>
      </c>
      <c r="C193" s="62" t="s">
        <v>76</v>
      </c>
      <c r="D193" s="61" t="s">
        <v>75</v>
      </c>
      <c r="E193" s="61">
        <v>0</v>
      </c>
      <c r="F193" s="61">
        <v>11</v>
      </c>
      <c r="G193" s="61">
        <v>13</v>
      </c>
      <c r="H193" s="61">
        <v>0</v>
      </c>
      <c r="I193" s="61">
        <v>999999</v>
      </c>
      <c r="J193" s="61">
        <v>99.662099999999995</v>
      </c>
      <c r="K193" s="61">
        <v>-4.0524699999999996</v>
      </c>
      <c r="L193" s="61">
        <v>-2.0052599999999998</v>
      </c>
      <c r="M193" s="62" t="s">
        <v>28</v>
      </c>
    </row>
    <row r="194" spans="1:13" ht="12.75" customHeight="1" x14ac:dyDescent="0.25">
      <c r="A194" s="61">
        <v>92</v>
      </c>
      <c r="B194" s="62" t="s">
        <v>102</v>
      </c>
      <c r="C194" s="62" t="s">
        <v>80</v>
      </c>
      <c r="D194" s="61" t="s">
        <v>75</v>
      </c>
      <c r="E194" s="61">
        <v>0</v>
      </c>
      <c r="F194" s="61">
        <v>1</v>
      </c>
      <c r="G194" s="61">
        <v>6</v>
      </c>
      <c r="H194" s="61">
        <v>0</v>
      </c>
      <c r="I194" s="61">
        <v>999999</v>
      </c>
      <c r="J194" s="61">
        <v>101.1178</v>
      </c>
      <c r="K194" s="61">
        <v>-3.7926000000000001E-2</v>
      </c>
      <c r="L194" s="61">
        <v>-2.6186600000000002</v>
      </c>
      <c r="M194" s="62" t="s">
        <v>28</v>
      </c>
    </row>
    <row r="195" spans="1:13" ht="12.75" customHeight="1" x14ac:dyDescent="0.25">
      <c r="A195" s="61">
        <v>92</v>
      </c>
      <c r="B195" s="62" t="s">
        <v>102</v>
      </c>
      <c r="C195" s="62" t="s">
        <v>80</v>
      </c>
      <c r="D195" s="61" t="s">
        <v>75</v>
      </c>
      <c r="E195" s="61">
        <v>0</v>
      </c>
      <c r="F195" s="61">
        <v>6</v>
      </c>
      <c r="G195" s="61">
        <v>11</v>
      </c>
      <c r="H195" s="61">
        <v>0</v>
      </c>
      <c r="I195" s="61">
        <v>999999</v>
      </c>
      <c r="J195" s="61">
        <v>100.2948</v>
      </c>
      <c r="K195" s="61">
        <v>-5.87364</v>
      </c>
      <c r="L195" s="61">
        <v>-2.0628299999999999</v>
      </c>
      <c r="M195" s="62" t="s">
        <v>28</v>
      </c>
    </row>
    <row r="196" spans="1:13" ht="12.75" customHeight="1" x14ac:dyDescent="0.25">
      <c r="A196" s="61">
        <v>92</v>
      </c>
      <c r="B196" s="62" t="s">
        <v>102</v>
      </c>
      <c r="C196" s="62" t="s">
        <v>80</v>
      </c>
      <c r="D196" s="61" t="s">
        <v>75</v>
      </c>
      <c r="E196" s="61">
        <v>0</v>
      </c>
      <c r="F196" s="61">
        <v>11</v>
      </c>
      <c r="G196" s="61">
        <v>13</v>
      </c>
      <c r="H196" s="61">
        <v>0</v>
      </c>
      <c r="I196" s="61">
        <v>999999</v>
      </c>
      <c r="J196" s="61">
        <v>101.1178</v>
      </c>
      <c r="K196" s="61">
        <v>-3.7926000000000001E-2</v>
      </c>
      <c r="L196" s="61">
        <v>-2.6186600000000002</v>
      </c>
      <c r="M196" s="62" t="s">
        <v>28</v>
      </c>
    </row>
    <row r="197" spans="1:13" ht="12.75" customHeight="1" x14ac:dyDescent="0.25">
      <c r="A197" s="61">
        <v>93</v>
      </c>
      <c r="B197" s="62" t="s">
        <v>102</v>
      </c>
      <c r="C197" s="62" t="s">
        <v>79</v>
      </c>
      <c r="D197" s="61" t="s">
        <v>75</v>
      </c>
      <c r="E197" s="61">
        <v>0</v>
      </c>
      <c r="F197" s="61">
        <v>1</v>
      </c>
      <c r="G197" s="61">
        <v>6</v>
      </c>
      <c r="H197" s="61">
        <v>0</v>
      </c>
      <c r="I197" s="61">
        <v>999999</v>
      </c>
      <c r="J197" s="61">
        <v>90.964500000000001</v>
      </c>
      <c r="K197" s="61">
        <v>-16.296600000000002</v>
      </c>
      <c r="L197" s="61">
        <v>-0.30113099999999998</v>
      </c>
      <c r="M197" s="62" t="s">
        <v>28</v>
      </c>
    </row>
    <row r="198" spans="1:13" ht="12.75" customHeight="1" x14ac:dyDescent="0.25">
      <c r="A198" s="61">
        <v>93</v>
      </c>
      <c r="B198" s="62" t="s">
        <v>102</v>
      </c>
      <c r="C198" s="62" t="s">
        <v>79</v>
      </c>
      <c r="D198" s="61" t="s">
        <v>75</v>
      </c>
      <c r="E198" s="61">
        <v>0</v>
      </c>
      <c r="F198" s="61">
        <v>6</v>
      </c>
      <c r="G198" s="61">
        <v>11</v>
      </c>
      <c r="H198" s="61">
        <v>0</v>
      </c>
      <c r="I198" s="61">
        <v>999999</v>
      </c>
      <c r="J198" s="61">
        <v>83.981499999999997</v>
      </c>
      <c r="K198" s="61">
        <v>-26.125</v>
      </c>
      <c r="L198" s="61">
        <v>0.61845000000000006</v>
      </c>
      <c r="M198" s="62" t="s">
        <v>28</v>
      </c>
    </row>
    <row r="199" spans="1:13" ht="12.75" customHeight="1" x14ac:dyDescent="0.25">
      <c r="A199" s="61">
        <v>93</v>
      </c>
      <c r="B199" s="62" t="s">
        <v>102</v>
      </c>
      <c r="C199" s="62" t="s">
        <v>79</v>
      </c>
      <c r="D199" s="61" t="s">
        <v>75</v>
      </c>
      <c r="E199" s="61">
        <v>0</v>
      </c>
      <c r="F199" s="61">
        <v>11</v>
      </c>
      <c r="G199" s="61">
        <v>13</v>
      </c>
      <c r="H199" s="61">
        <v>0</v>
      </c>
      <c r="I199" s="61">
        <v>999999</v>
      </c>
      <c r="J199" s="61">
        <v>90.964500000000001</v>
      </c>
      <c r="K199" s="61">
        <v>-16.296600000000002</v>
      </c>
      <c r="L199" s="61">
        <v>-0.30113099999999998</v>
      </c>
      <c r="M199" s="62" t="s">
        <v>28</v>
      </c>
    </row>
    <row r="200" spans="1:13" ht="12.75" customHeight="1" x14ac:dyDescent="0.25">
      <c r="A200" s="61">
        <v>94</v>
      </c>
      <c r="B200" s="62" t="s">
        <v>102</v>
      </c>
      <c r="C200" s="62" t="s">
        <v>81</v>
      </c>
      <c r="D200" s="61" t="s">
        <v>75</v>
      </c>
      <c r="E200" s="61">
        <v>0</v>
      </c>
      <c r="F200" s="61">
        <v>1</v>
      </c>
      <c r="G200" s="61">
        <v>6</v>
      </c>
      <c r="H200" s="61">
        <v>0</v>
      </c>
      <c r="I200" s="61">
        <v>999999</v>
      </c>
      <c r="J200" s="61">
        <v>99.162400000000005</v>
      </c>
      <c r="K200" s="61">
        <v>-6.4344200000000003</v>
      </c>
      <c r="L200" s="61">
        <v>-1.31263</v>
      </c>
      <c r="M200" s="62" t="s">
        <v>28</v>
      </c>
    </row>
    <row r="201" spans="1:13" ht="12.75" customHeight="1" x14ac:dyDescent="0.25">
      <c r="A201" s="61">
        <v>94</v>
      </c>
      <c r="B201" s="62" t="s">
        <v>102</v>
      </c>
      <c r="C201" s="62" t="s">
        <v>81</v>
      </c>
      <c r="D201" s="61" t="s">
        <v>75</v>
      </c>
      <c r="E201" s="61">
        <v>0</v>
      </c>
      <c r="F201" s="61">
        <v>6</v>
      </c>
      <c r="G201" s="61">
        <v>11</v>
      </c>
      <c r="H201" s="61">
        <v>0</v>
      </c>
      <c r="I201" s="61">
        <v>999999</v>
      </c>
      <c r="J201" s="61">
        <v>99.619699999999995</v>
      </c>
      <c r="K201" s="61">
        <v>-4.4316500000000003</v>
      </c>
      <c r="L201" s="61">
        <v>-3.1983999999999999</v>
      </c>
      <c r="M201" s="62" t="s">
        <v>28</v>
      </c>
    </row>
    <row r="202" spans="1:13" ht="12.75" customHeight="1" x14ac:dyDescent="0.25">
      <c r="A202" s="61">
        <v>94</v>
      </c>
      <c r="B202" s="62" t="s">
        <v>102</v>
      </c>
      <c r="C202" s="62" t="s">
        <v>81</v>
      </c>
      <c r="D202" s="61" t="s">
        <v>75</v>
      </c>
      <c r="E202" s="61">
        <v>0</v>
      </c>
      <c r="F202" s="61">
        <v>11</v>
      </c>
      <c r="G202" s="61">
        <v>13</v>
      </c>
      <c r="H202" s="61">
        <v>0</v>
      </c>
      <c r="I202" s="61">
        <v>999999</v>
      </c>
      <c r="J202" s="61">
        <v>99.162400000000005</v>
      </c>
      <c r="K202" s="61">
        <v>-6.4344200000000003</v>
      </c>
      <c r="L202" s="61">
        <v>-1.31263</v>
      </c>
      <c r="M202" s="62" t="s">
        <v>28</v>
      </c>
    </row>
    <row r="203" spans="1:13" ht="12.75" customHeight="1" x14ac:dyDescent="0.25">
      <c r="A203" s="61">
        <v>95</v>
      </c>
      <c r="B203" s="62" t="s">
        <v>102</v>
      </c>
      <c r="C203" s="62" t="s">
        <v>77</v>
      </c>
      <c r="D203" s="61" t="s">
        <v>75</v>
      </c>
      <c r="E203" s="61">
        <v>0</v>
      </c>
      <c r="F203" s="61">
        <v>1</v>
      </c>
      <c r="G203" s="61">
        <v>6</v>
      </c>
      <c r="H203" s="61">
        <v>0</v>
      </c>
      <c r="I203" s="61">
        <v>999999</v>
      </c>
      <c r="J203" s="61">
        <v>96.111800000000002</v>
      </c>
      <c r="K203" s="61">
        <v>-18.16</v>
      </c>
      <c r="L203" s="61">
        <v>0.48294999999999999</v>
      </c>
      <c r="M203" s="62" t="s">
        <v>28</v>
      </c>
    </row>
    <row r="204" spans="1:13" ht="12.75" customHeight="1" x14ac:dyDescent="0.25">
      <c r="A204" s="61">
        <v>95</v>
      </c>
      <c r="B204" s="62" t="s">
        <v>102</v>
      </c>
      <c r="C204" s="62" t="s">
        <v>77</v>
      </c>
      <c r="D204" s="61" t="s">
        <v>75</v>
      </c>
      <c r="E204" s="61">
        <v>0</v>
      </c>
      <c r="F204" s="61">
        <v>6</v>
      </c>
      <c r="G204" s="61">
        <v>11</v>
      </c>
      <c r="H204" s="61">
        <v>0</v>
      </c>
      <c r="I204" s="61">
        <v>999999</v>
      </c>
      <c r="J204" s="61">
        <v>93.4405</v>
      </c>
      <c r="K204" s="61">
        <v>-23.241599999999998</v>
      </c>
      <c r="L204" s="61">
        <v>-1.71641</v>
      </c>
      <c r="M204" s="62" t="s">
        <v>28</v>
      </c>
    </row>
    <row r="205" spans="1:13" ht="12.75" customHeight="1" x14ac:dyDescent="0.25">
      <c r="A205" s="61">
        <v>95</v>
      </c>
      <c r="B205" s="62" t="s">
        <v>102</v>
      </c>
      <c r="C205" s="62" t="s">
        <v>77</v>
      </c>
      <c r="D205" s="61" t="s">
        <v>75</v>
      </c>
      <c r="E205" s="61">
        <v>0</v>
      </c>
      <c r="F205" s="61">
        <v>11</v>
      </c>
      <c r="G205" s="61">
        <v>13</v>
      </c>
      <c r="H205" s="61">
        <v>0</v>
      </c>
      <c r="I205" s="61">
        <v>999999</v>
      </c>
      <c r="J205" s="61">
        <v>96.111800000000002</v>
      </c>
      <c r="K205" s="61">
        <v>-18.16</v>
      </c>
      <c r="L205" s="61">
        <v>0.48294999999999999</v>
      </c>
      <c r="M205" s="62" t="s">
        <v>28</v>
      </c>
    </row>
    <row r="206" spans="1:13" ht="12.75" customHeight="1" x14ac:dyDescent="0.2">
      <c r="A206" s="133" t="s">
        <v>190</v>
      </c>
      <c r="B206" s="109"/>
      <c r="C206" s="109"/>
      <c r="D206" s="109"/>
      <c r="E206" s="109"/>
      <c r="F206" s="109"/>
      <c r="G206" s="109"/>
      <c r="H206" s="109"/>
      <c r="I206" s="109"/>
      <c r="J206" s="109"/>
      <c r="K206" s="109"/>
      <c r="L206" s="109"/>
      <c r="M206" s="3"/>
    </row>
    <row r="207" spans="1:13" ht="12.75" customHeight="1" x14ac:dyDescent="0.2">
      <c r="A207" s="2"/>
      <c r="B207" s="3"/>
      <c r="C207" s="3"/>
      <c r="D207" s="2"/>
      <c r="E207" s="2"/>
      <c r="F207" s="2"/>
      <c r="G207" s="2"/>
      <c r="H207" s="2"/>
      <c r="I207" s="2"/>
      <c r="J207" s="2"/>
      <c r="K207" s="2"/>
      <c r="L207" s="2"/>
      <c r="M207" s="3"/>
    </row>
    <row r="208" spans="1:13" ht="12.75" customHeight="1" x14ac:dyDescent="0.2">
      <c r="A208" s="2"/>
      <c r="B208" s="3"/>
      <c r="C208" s="3"/>
      <c r="D208" s="2"/>
      <c r="E208" s="2"/>
      <c r="F208" s="2"/>
      <c r="G208" s="2"/>
      <c r="H208" s="2"/>
      <c r="I208" s="2"/>
      <c r="J208" s="2"/>
      <c r="K208" s="2"/>
      <c r="L208" s="2"/>
      <c r="M208" s="3"/>
    </row>
    <row r="209" spans="1:13" ht="12.75" customHeight="1" x14ac:dyDescent="0.2">
      <c r="A209" s="2"/>
      <c r="B209" s="3"/>
      <c r="C209" s="3"/>
      <c r="D209" s="2"/>
      <c r="E209" s="2"/>
      <c r="F209" s="2"/>
      <c r="G209" s="2"/>
      <c r="H209" s="2"/>
      <c r="I209" s="2"/>
      <c r="J209" s="2"/>
      <c r="K209" s="2"/>
      <c r="L209" s="2"/>
      <c r="M209" s="3"/>
    </row>
    <row r="210" spans="1:13" ht="12.75" customHeight="1" x14ac:dyDescent="0.2">
      <c r="A210" s="68"/>
      <c r="B210" s="66"/>
      <c r="C210" s="66"/>
      <c r="D210" s="68"/>
      <c r="E210" s="68"/>
      <c r="F210" s="2"/>
      <c r="G210" s="2"/>
      <c r="H210" s="2"/>
      <c r="I210" s="2"/>
      <c r="J210" s="2"/>
      <c r="K210" s="2"/>
      <c r="L210" s="2"/>
      <c r="M210" s="3"/>
    </row>
    <row r="211" spans="1:13" ht="12.75" customHeight="1" thickBot="1" x14ac:dyDescent="0.25">
      <c r="A211" s="69"/>
      <c r="B211" s="70"/>
      <c r="C211" s="70"/>
      <c r="D211" s="69"/>
      <c r="E211" s="69"/>
      <c r="F211" s="65"/>
      <c r="G211" s="2"/>
      <c r="H211" s="2"/>
      <c r="I211" s="2"/>
      <c r="J211" s="2"/>
      <c r="K211" s="2"/>
      <c r="L211" s="2"/>
      <c r="M211" s="3"/>
    </row>
    <row r="212" spans="1:13" ht="15.75" customHeight="1" x14ac:dyDescent="0.25">
      <c r="A212" s="74"/>
      <c r="B212" s="75"/>
      <c r="C212" s="76" t="s">
        <v>99</v>
      </c>
      <c r="D212" s="77"/>
      <c r="E212" s="69"/>
      <c r="F212" s="65"/>
      <c r="G212" s="2"/>
      <c r="H212" s="2"/>
      <c r="I212" s="2"/>
      <c r="J212" s="2"/>
      <c r="K212" s="2"/>
      <c r="L212" s="2"/>
      <c r="M212" s="3"/>
    </row>
    <row r="213" spans="1:13" ht="12.75" customHeight="1" x14ac:dyDescent="0.2">
      <c r="A213" s="78"/>
      <c r="B213" s="69"/>
      <c r="C213" s="6"/>
      <c r="D213" s="79"/>
      <c r="E213" s="69"/>
      <c r="F213" s="65"/>
      <c r="G213" s="2"/>
      <c r="H213" s="2"/>
      <c r="I213" s="2"/>
      <c r="J213" s="2"/>
      <c r="K213" s="2"/>
      <c r="L213" s="2"/>
      <c r="M213" s="3"/>
    </row>
    <row r="214" spans="1:13" ht="12.75" customHeight="1" x14ac:dyDescent="0.2">
      <c r="A214" s="78"/>
      <c r="B214" s="69"/>
      <c r="C214" s="83" t="s">
        <v>98</v>
      </c>
      <c r="D214" s="80"/>
      <c r="E214" s="69"/>
      <c r="F214" s="65"/>
      <c r="G214" s="2"/>
      <c r="H214" s="2"/>
      <c r="I214" s="2"/>
      <c r="J214" s="2"/>
      <c r="K214" s="2"/>
      <c r="L214" s="2"/>
      <c r="M214" s="3"/>
    </row>
    <row r="215" spans="1:13" ht="12.75" customHeight="1" x14ac:dyDescent="0.2">
      <c r="A215" s="87">
        <f>A3</f>
        <v>52</v>
      </c>
      <c r="B215" s="81" t="str">
        <f>B3</f>
        <v>FC</v>
      </c>
      <c r="C215" s="84" t="str">
        <f>C3</f>
        <v>Secondary</v>
      </c>
      <c r="D215" s="80">
        <f>A215</f>
        <v>52</v>
      </c>
      <c r="E215" s="71"/>
      <c r="F215" s="67"/>
      <c r="H215" s="2"/>
      <c r="I215" s="2"/>
      <c r="J215" s="2"/>
      <c r="K215" s="2"/>
      <c r="L215" s="2"/>
      <c r="M215" s="3"/>
    </row>
    <row r="216" spans="1:13" ht="12.75" customHeight="1" x14ac:dyDescent="0.2">
      <c r="A216" s="87">
        <f>A2</f>
        <v>51</v>
      </c>
      <c r="B216" s="81" t="str">
        <f>B2</f>
        <v>FC</v>
      </c>
      <c r="C216" s="72" t="str">
        <f>C2</f>
        <v>Primary</v>
      </c>
      <c r="D216" s="80">
        <f>A216</f>
        <v>51</v>
      </c>
      <c r="E216" s="71"/>
      <c r="F216" s="67"/>
      <c r="G216" s="42"/>
      <c r="H216" s="2"/>
      <c r="I216" s="2"/>
      <c r="J216" s="2"/>
      <c r="K216" s="2"/>
      <c r="L216" s="2"/>
      <c r="M216" s="3"/>
    </row>
    <row r="217" spans="1:13" ht="12.75" customHeight="1" x14ac:dyDescent="0.2">
      <c r="A217" s="87">
        <f>A4</f>
        <v>53</v>
      </c>
      <c r="B217" s="81" t="str">
        <f>B4</f>
        <v>FC</v>
      </c>
      <c r="C217" s="84" t="str">
        <f>C4</f>
        <v>Extraordinary</v>
      </c>
      <c r="D217" s="80">
        <f>A217</f>
        <v>53</v>
      </c>
      <c r="E217" s="71"/>
      <c r="F217" s="67"/>
      <c r="G217" s="42"/>
      <c r="H217" s="2"/>
      <c r="I217" s="2"/>
      <c r="J217" s="2"/>
      <c r="K217" s="2"/>
      <c r="L217" s="2"/>
      <c r="M217" s="3"/>
    </row>
    <row r="218" spans="1:13" ht="12.75" customHeight="1" x14ac:dyDescent="0.2">
      <c r="A218" s="87"/>
      <c r="B218" s="81"/>
      <c r="C218" s="70"/>
      <c r="D218" s="80"/>
      <c r="E218" s="69"/>
      <c r="F218" s="65"/>
      <c r="G218" s="2"/>
      <c r="H218" s="2"/>
      <c r="I218" s="2"/>
      <c r="J218" s="2"/>
      <c r="K218" s="2"/>
      <c r="L218" s="2"/>
      <c r="M218" s="3"/>
    </row>
    <row r="219" spans="1:13" ht="12.75" customHeight="1" x14ac:dyDescent="0.2">
      <c r="A219" s="87"/>
      <c r="B219" s="81"/>
      <c r="C219" s="85" t="s">
        <v>100</v>
      </c>
      <c r="D219" s="80"/>
      <c r="E219" s="69"/>
      <c r="F219" s="65"/>
      <c r="G219" s="105"/>
      <c r="H219" s="105"/>
      <c r="I219" s="2"/>
      <c r="J219" s="2"/>
      <c r="K219" s="2"/>
      <c r="L219" s="2"/>
      <c r="M219" s="3"/>
    </row>
    <row r="220" spans="1:13" ht="12.75" customHeight="1" x14ac:dyDescent="0.2">
      <c r="A220" s="87">
        <f>A7</f>
        <v>22</v>
      </c>
      <c r="B220" s="81" t="str">
        <f>B7</f>
        <v>Oxygen</v>
      </c>
      <c r="C220" s="84" t="str">
        <f>C7</f>
        <v>Rearing</v>
      </c>
      <c r="D220" s="80">
        <f t="shared" ref="D220:D233" si="0">A220</f>
        <v>22</v>
      </c>
      <c r="E220" s="69"/>
      <c r="F220" s="65"/>
      <c r="G220" s="105"/>
      <c r="H220" s="104"/>
      <c r="I220" s="2"/>
      <c r="J220" s="2"/>
      <c r="K220" s="2"/>
      <c r="L220" s="2"/>
      <c r="M220" s="3"/>
    </row>
    <row r="221" spans="1:13" ht="12.75" customHeight="1" x14ac:dyDescent="0.2">
      <c r="A221" s="87">
        <f>A19</f>
        <v>26</v>
      </c>
      <c r="B221" s="81" t="str">
        <f>B19</f>
        <v>Oxygen</v>
      </c>
      <c r="C221" s="84" t="str">
        <f>C19</f>
        <v>Core</v>
      </c>
      <c r="D221" s="80">
        <f t="shared" si="0"/>
        <v>26</v>
      </c>
      <c r="E221" s="69"/>
      <c r="F221" s="65"/>
      <c r="G221" s="2"/>
      <c r="H221" s="2"/>
      <c r="I221" s="2"/>
      <c r="J221" s="2"/>
      <c r="K221" s="2"/>
      <c r="L221" s="2"/>
      <c r="M221" s="3"/>
    </row>
    <row r="222" spans="1:13" ht="12.75" customHeight="1" x14ac:dyDescent="0.2">
      <c r="A222" s="87">
        <f>A9</f>
        <v>23</v>
      </c>
      <c r="B222" s="81" t="str">
        <f>B9</f>
        <v>Oxygen</v>
      </c>
      <c r="C222" s="84" t="str">
        <f>C9</f>
        <v>Char</v>
      </c>
      <c r="D222" s="80">
        <f t="shared" si="0"/>
        <v>23</v>
      </c>
      <c r="E222" s="69"/>
      <c r="F222" s="65"/>
      <c r="G222" s="105"/>
      <c r="H222" s="105"/>
      <c r="I222" s="2"/>
      <c r="J222" s="2"/>
      <c r="K222" s="2"/>
      <c r="L222" s="2"/>
      <c r="M222" s="3"/>
    </row>
    <row r="223" spans="1:13" ht="12.75" customHeight="1" x14ac:dyDescent="0.2">
      <c r="A223" s="87">
        <f>A5</f>
        <v>21</v>
      </c>
      <c r="B223" s="81" t="str">
        <f>B5</f>
        <v>Oxygen</v>
      </c>
      <c r="C223" s="84" t="str">
        <f>C5</f>
        <v>Spawning</v>
      </c>
      <c r="D223" s="80">
        <f t="shared" si="0"/>
        <v>21</v>
      </c>
      <c r="E223" s="69"/>
      <c r="F223" s="65"/>
      <c r="G223" s="2"/>
      <c r="H223" s="2"/>
      <c r="I223" s="2"/>
      <c r="J223" s="2"/>
      <c r="K223" s="2"/>
      <c r="L223" s="2"/>
      <c r="M223" s="3"/>
    </row>
    <row r="224" spans="1:13" ht="12.75" customHeight="1" x14ac:dyDescent="0.2">
      <c r="A224" s="87">
        <f>A17</f>
        <v>25</v>
      </c>
      <c r="B224" s="81" t="str">
        <f>B17</f>
        <v>Oxygen</v>
      </c>
      <c r="C224" s="84" t="str">
        <f>C17</f>
        <v>S2</v>
      </c>
      <c r="D224" s="80">
        <f t="shared" si="0"/>
        <v>25</v>
      </c>
      <c r="E224" s="69"/>
      <c r="F224" s="65"/>
      <c r="G224" s="2"/>
      <c r="H224" s="2"/>
      <c r="I224" s="2"/>
      <c r="J224" s="2"/>
      <c r="K224" s="2"/>
      <c r="L224" s="2"/>
      <c r="M224" s="3"/>
    </row>
    <row r="225" spans="1:13" ht="12.75" customHeight="1" x14ac:dyDescent="0.2">
      <c r="A225" s="87">
        <f>A11</f>
        <v>24</v>
      </c>
      <c r="B225" s="81" t="str">
        <f>B11</f>
        <v>Oxygen</v>
      </c>
      <c r="C225" s="84" t="str">
        <f>C11</f>
        <v>S1</v>
      </c>
      <c r="D225" s="80">
        <f t="shared" si="0"/>
        <v>24</v>
      </c>
      <c r="E225" s="69"/>
      <c r="F225" s="65"/>
      <c r="G225" s="2"/>
      <c r="H225" s="2"/>
      <c r="I225" s="2"/>
      <c r="J225" s="2"/>
      <c r="K225" s="2"/>
      <c r="L225" s="2"/>
      <c r="M225" s="3"/>
    </row>
    <row r="226" spans="1:13" ht="12.75" customHeight="1" x14ac:dyDescent="0.2">
      <c r="A226" s="87"/>
      <c r="B226" s="81"/>
      <c r="C226" s="84"/>
      <c r="D226" s="80"/>
      <c r="E226" s="69"/>
      <c r="F226" s="65"/>
      <c r="G226" s="2"/>
      <c r="H226" s="2"/>
      <c r="I226" s="2"/>
      <c r="J226" s="2"/>
      <c r="K226" s="2"/>
      <c r="L226" s="2"/>
      <c r="M226" s="3"/>
    </row>
    <row r="227" spans="1:13" ht="12.75" customHeight="1" x14ac:dyDescent="0.2">
      <c r="A227" s="87"/>
      <c r="B227" s="81"/>
      <c r="C227" s="86" t="s">
        <v>101</v>
      </c>
      <c r="D227" s="80"/>
      <c r="E227" s="69"/>
      <c r="F227" s="65"/>
      <c r="G227" s="2"/>
      <c r="H227" s="2"/>
      <c r="I227" s="2"/>
      <c r="J227" s="2"/>
      <c r="K227" s="2"/>
      <c r="L227" s="2"/>
      <c r="M227" s="3"/>
    </row>
    <row r="228" spans="1:13" ht="12.75" customHeight="1" x14ac:dyDescent="0.25">
      <c r="A228" s="127">
        <v>6</v>
      </c>
      <c r="B228" s="127" t="s">
        <v>19</v>
      </c>
      <c r="C228" s="127" t="s">
        <v>92</v>
      </c>
      <c r="D228" s="80">
        <f t="shared" si="0"/>
        <v>6</v>
      </c>
      <c r="E228" s="69"/>
      <c r="F228" s="65"/>
      <c r="H228" s="104"/>
      <c r="I228" s="2"/>
      <c r="J228" s="2"/>
      <c r="K228" s="61"/>
      <c r="L228" s="62"/>
      <c r="M228" s="62"/>
    </row>
    <row r="229" spans="1:13" ht="12.75" customHeight="1" x14ac:dyDescent="0.25">
      <c r="A229" s="127">
        <v>7</v>
      </c>
      <c r="B229" s="127" t="s">
        <v>19</v>
      </c>
      <c r="C229" s="127" t="s">
        <v>94</v>
      </c>
      <c r="D229" s="80">
        <f t="shared" si="0"/>
        <v>7</v>
      </c>
      <c r="E229" s="69"/>
      <c r="F229" s="65"/>
      <c r="H229" s="105"/>
      <c r="I229" s="2"/>
      <c r="J229" s="2"/>
      <c r="K229" s="61"/>
      <c r="L229" s="62"/>
      <c r="M229" s="62"/>
    </row>
    <row r="230" spans="1:13" ht="12.75" customHeight="1" x14ac:dyDescent="0.25">
      <c r="A230" s="127">
        <v>8</v>
      </c>
      <c r="B230" s="127" t="s">
        <v>19</v>
      </c>
      <c r="C230" s="127" t="s">
        <v>96</v>
      </c>
      <c r="D230" s="80">
        <f t="shared" si="0"/>
        <v>8</v>
      </c>
      <c r="E230" s="69"/>
      <c r="F230" s="65"/>
      <c r="G230" s="2"/>
      <c r="H230" s="2"/>
      <c r="I230" s="2"/>
      <c r="J230" s="2"/>
      <c r="K230" s="61"/>
      <c r="L230" s="62"/>
      <c r="M230" s="62"/>
    </row>
    <row r="231" spans="1:13" ht="12.75" customHeight="1" x14ac:dyDescent="0.25">
      <c r="A231" s="127">
        <v>9</v>
      </c>
      <c r="B231" s="127" t="s">
        <v>19</v>
      </c>
      <c r="C231" s="127" t="s">
        <v>163</v>
      </c>
      <c r="D231" s="80">
        <f t="shared" si="0"/>
        <v>9</v>
      </c>
      <c r="E231" s="69"/>
      <c r="F231" s="65"/>
      <c r="G231" s="2"/>
      <c r="H231" s="2"/>
      <c r="I231" s="2"/>
      <c r="J231" s="2"/>
      <c r="K231" s="61"/>
      <c r="L231" s="62"/>
      <c r="M231" s="62"/>
    </row>
    <row r="232" spans="1:13" ht="12.75" customHeight="1" x14ac:dyDescent="0.25">
      <c r="A232" s="127">
        <v>10</v>
      </c>
      <c r="B232" s="127" t="s">
        <v>19</v>
      </c>
      <c r="C232" s="127" t="s">
        <v>164</v>
      </c>
      <c r="D232" s="80">
        <f t="shared" si="0"/>
        <v>10</v>
      </c>
      <c r="E232" s="69"/>
      <c r="F232" s="65"/>
      <c r="G232" s="2"/>
      <c r="H232" s="2"/>
      <c r="I232" s="2"/>
      <c r="J232" s="2"/>
      <c r="K232" s="61"/>
      <c r="L232" s="62"/>
      <c r="M232" s="62"/>
    </row>
    <row r="233" spans="1:13" ht="12.75" customHeight="1" x14ac:dyDescent="0.25">
      <c r="A233" s="127">
        <v>13</v>
      </c>
      <c r="B233" s="127" t="s">
        <v>19</v>
      </c>
      <c r="C233" s="127" t="s">
        <v>93</v>
      </c>
      <c r="D233" s="80">
        <f t="shared" si="0"/>
        <v>13</v>
      </c>
      <c r="E233" s="69"/>
      <c r="F233" s="65"/>
      <c r="G233" s="2"/>
      <c r="H233" s="2"/>
      <c r="I233" s="2"/>
      <c r="J233" s="2"/>
      <c r="K233" s="61"/>
      <c r="L233" s="62"/>
      <c r="M233" s="62"/>
    </row>
    <row r="234" spans="1:13" ht="12.75" customHeight="1" x14ac:dyDescent="0.2">
      <c r="C234" s="86" t="s">
        <v>113</v>
      </c>
      <c r="D234" s="80"/>
    </row>
    <row r="235" spans="1:13" ht="12.75" customHeight="1" x14ac:dyDescent="0.2">
      <c r="A235" s="101">
        <v>0</v>
      </c>
      <c r="B235" s="102" t="s">
        <v>19</v>
      </c>
      <c r="C235" s="103" t="s">
        <v>115</v>
      </c>
      <c r="D235" s="80">
        <v>0</v>
      </c>
    </row>
    <row r="236" spans="1:13" ht="12.75" customHeight="1" x14ac:dyDescent="0.2">
      <c r="A236" s="101">
        <v>1</v>
      </c>
      <c r="B236" s="102" t="s">
        <v>19</v>
      </c>
      <c r="C236" s="103" t="s">
        <v>116</v>
      </c>
      <c r="D236" s="80">
        <v>1</v>
      </c>
    </row>
    <row r="237" spans="1:13" ht="12.75" customHeight="1" x14ac:dyDescent="0.2">
      <c r="A237" s="101">
        <v>2</v>
      </c>
      <c r="B237" s="102" t="s">
        <v>19</v>
      </c>
      <c r="C237" s="103" t="s">
        <v>117</v>
      </c>
      <c r="D237" s="80">
        <v>2</v>
      </c>
    </row>
    <row r="238" spans="1:13" ht="12.75" customHeight="1" x14ac:dyDescent="0.2">
      <c r="A238" s="101">
        <v>3</v>
      </c>
      <c r="B238" s="102" t="s">
        <v>19</v>
      </c>
      <c r="C238" s="103" t="s">
        <v>118</v>
      </c>
      <c r="D238" s="80">
        <v>3</v>
      </c>
    </row>
    <row r="239" spans="1:13" ht="12.75" customHeight="1" x14ac:dyDescent="0.2">
      <c r="A239" s="101">
        <v>4</v>
      </c>
      <c r="B239" s="102" t="s">
        <v>19</v>
      </c>
      <c r="C239" s="103" t="s">
        <v>119</v>
      </c>
      <c r="D239" s="80">
        <v>4</v>
      </c>
    </row>
    <row r="240" spans="1:13" ht="12.75" customHeight="1" x14ac:dyDescent="0.2">
      <c r="A240" s="101">
        <v>5</v>
      </c>
      <c r="B240" s="102" t="s">
        <v>19</v>
      </c>
      <c r="C240" s="103" t="s">
        <v>120</v>
      </c>
      <c r="D240" s="80">
        <v>5</v>
      </c>
    </row>
    <row r="241" spans="1:13" ht="12.75" customHeight="1" x14ac:dyDescent="0.2">
      <c r="A241" s="101">
        <v>6</v>
      </c>
      <c r="B241" s="102" t="s">
        <v>19</v>
      </c>
      <c r="C241" s="103" t="s">
        <v>121</v>
      </c>
      <c r="D241" s="80">
        <v>6</v>
      </c>
    </row>
    <row r="242" spans="1:13" ht="12.75" customHeight="1" x14ac:dyDescent="0.2">
      <c r="A242" s="101">
        <v>7</v>
      </c>
      <c r="B242" s="102" t="s">
        <v>19</v>
      </c>
      <c r="C242" s="103" t="s">
        <v>122</v>
      </c>
      <c r="D242" s="80">
        <v>7</v>
      </c>
    </row>
    <row r="243" spans="1:13" ht="12.75" customHeight="1" x14ac:dyDescent="0.2">
      <c r="A243" s="101">
        <v>8</v>
      </c>
      <c r="B243" s="102" t="s">
        <v>19</v>
      </c>
      <c r="C243" s="103" t="s">
        <v>123</v>
      </c>
      <c r="D243" s="80">
        <v>8</v>
      </c>
    </row>
    <row r="244" spans="1:13" ht="12.75" customHeight="1" x14ac:dyDescent="0.2">
      <c r="A244" s="101">
        <v>9</v>
      </c>
      <c r="B244" s="102" t="s">
        <v>19</v>
      </c>
      <c r="C244" s="103" t="s">
        <v>124</v>
      </c>
      <c r="D244" s="80">
        <v>9</v>
      </c>
    </row>
    <row r="245" spans="1:13" ht="12.75" customHeight="1" x14ac:dyDescent="0.2">
      <c r="A245" s="101">
        <v>10</v>
      </c>
      <c r="B245" s="102" t="s">
        <v>19</v>
      </c>
      <c r="C245" s="103" t="s">
        <v>125</v>
      </c>
      <c r="D245" s="80">
        <v>10</v>
      </c>
    </row>
    <row r="246" spans="1:13" ht="12.75" customHeight="1" x14ac:dyDescent="0.2">
      <c r="A246" s="101">
        <v>11</v>
      </c>
      <c r="B246" s="102" t="s">
        <v>19</v>
      </c>
      <c r="C246" s="103" t="s">
        <v>126</v>
      </c>
      <c r="D246" s="80">
        <v>11</v>
      </c>
    </row>
    <row r="247" spans="1:13" ht="12.75" customHeight="1" x14ac:dyDescent="0.2">
      <c r="A247" s="101">
        <v>12</v>
      </c>
      <c r="B247" s="102" t="s">
        <v>19</v>
      </c>
      <c r="C247" s="103" t="s">
        <v>127</v>
      </c>
      <c r="D247" s="80">
        <v>12</v>
      </c>
    </row>
    <row r="248" spans="1:13" ht="12.75" customHeight="1" x14ac:dyDescent="0.2">
      <c r="A248" s="101">
        <v>13</v>
      </c>
      <c r="B248" s="102" t="s">
        <v>19</v>
      </c>
      <c r="C248" s="103" t="s">
        <v>128</v>
      </c>
      <c r="D248" s="80">
        <v>13</v>
      </c>
    </row>
    <row r="249" spans="1:13" ht="12.75" customHeight="1" x14ac:dyDescent="0.2">
      <c r="A249" s="101">
        <v>14</v>
      </c>
      <c r="B249" s="102" t="s">
        <v>19</v>
      </c>
      <c r="C249" s="103" t="s">
        <v>129</v>
      </c>
      <c r="D249" s="80">
        <v>14</v>
      </c>
    </row>
    <row r="250" spans="1:13" ht="12.75" customHeight="1" x14ac:dyDescent="0.2">
      <c r="A250" s="101">
        <v>15</v>
      </c>
      <c r="B250" s="102" t="s">
        <v>19</v>
      </c>
      <c r="C250" s="103" t="s">
        <v>130</v>
      </c>
      <c r="D250" s="80">
        <v>15</v>
      </c>
    </row>
    <row r="251" spans="1:13" ht="12.75" customHeight="1" x14ac:dyDescent="0.2">
      <c r="A251" s="101">
        <v>16</v>
      </c>
      <c r="B251" s="102" t="s">
        <v>19</v>
      </c>
      <c r="C251" s="103" t="s">
        <v>131</v>
      </c>
      <c r="D251" s="80">
        <v>16</v>
      </c>
    </row>
    <row r="252" spans="1:13" ht="12.75" customHeight="1" x14ac:dyDescent="0.2">
      <c r="A252" s="101">
        <v>17</v>
      </c>
      <c r="B252" s="102" t="s">
        <v>19</v>
      </c>
      <c r="C252" s="103" t="s">
        <v>132</v>
      </c>
      <c r="D252" s="80">
        <v>17</v>
      </c>
    </row>
    <row r="253" spans="1:13" ht="12.75" customHeight="1" x14ac:dyDescent="0.2">
      <c r="A253" s="101">
        <v>18</v>
      </c>
      <c r="B253" s="102" t="s">
        <v>19</v>
      </c>
      <c r="C253" s="103" t="s">
        <v>133</v>
      </c>
      <c r="D253" s="80">
        <v>18</v>
      </c>
    </row>
    <row r="254" spans="1:13" ht="12.75" customHeight="1" x14ac:dyDescent="0.2">
      <c r="A254" s="87"/>
      <c r="B254" s="81"/>
      <c r="C254" s="84"/>
      <c r="D254" s="80"/>
      <c r="E254" s="69"/>
      <c r="F254" s="65"/>
      <c r="G254" s="2"/>
      <c r="H254" s="2"/>
      <c r="I254" s="2"/>
      <c r="J254" s="2"/>
      <c r="K254" s="2"/>
      <c r="L254" s="2"/>
      <c r="M254" s="3"/>
    </row>
    <row r="255" spans="1:13" ht="12.75" customHeight="1" x14ac:dyDescent="0.2">
      <c r="A255" s="87"/>
      <c r="B255" s="81"/>
      <c r="C255" s="86" t="s">
        <v>31</v>
      </c>
      <c r="D255" s="80"/>
      <c r="E255" s="69"/>
      <c r="F255" s="65"/>
      <c r="G255" s="2"/>
      <c r="H255" s="2"/>
      <c r="I255" s="2"/>
      <c r="J255" s="2"/>
      <c r="K255" s="2"/>
      <c r="L255" s="2"/>
      <c r="M255" s="3"/>
    </row>
    <row r="256" spans="1:13" ht="12.75" customHeight="1" x14ac:dyDescent="0.2">
      <c r="A256" s="87">
        <f>A155</f>
        <v>71</v>
      </c>
      <c r="B256" s="81" t="str">
        <f>B155</f>
        <v>TP_P</v>
      </c>
      <c r="C256" s="70" t="str">
        <f>C155</f>
        <v>1</v>
      </c>
      <c r="D256" s="80">
        <f>A256</f>
        <v>71</v>
      </c>
      <c r="E256" s="69"/>
      <c r="F256" s="65"/>
      <c r="G256" s="2"/>
      <c r="H256" s="2"/>
      <c r="I256" s="2"/>
      <c r="J256" s="2"/>
      <c r="K256" s="2"/>
      <c r="L256" s="2"/>
      <c r="M256" s="3"/>
    </row>
    <row r="257" spans="1:13" ht="12.75" customHeight="1" x14ac:dyDescent="0.2">
      <c r="A257" s="87">
        <f>A158</f>
        <v>72</v>
      </c>
      <c r="B257" s="81" t="str">
        <f>B158</f>
        <v>TP_P</v>
      </c>
      <c r="C257" s="70" t="str">
        <f>C158</f>
        <v>2</v>
      </c>
      <c r="D257" s="80">
        <f t="shared" ref="D257:D293" si="1">A257</f>
        <v>72</v>
      </c>
      <c r="E257" s="69"/>
      <c r="F257" s="65"/>
      <c r="G257" s="2"/>
      <c r="H257" s="2"/>
      <c r="I257" s="2"/>
      <c r="J257" s="2"/>
      <c r="K257" s="2"/>
      <c r="L257" s="2"/>
      <c r="M257" s="3"/>
    </row>
    <row r="258" spans="1:13" ht="12.75" customHeight="1" x14ac:dyDescent="0.2">
      <c r="A258" s="88">
        <f>A257</f>
        <v>72</v>
      </c>
      <c r="B258" s="82" t="str">
        <f>B257</f>
        <v>TP_P</v>
      </c>
      <c r="C258" s="73">
        <v>3</v>
      </c>
      <c r="D258" s="80">
        <f t="shared" si="1"/>
        <v>72</v>
      </c>
      <c r="E258" s="69"/>
      <c r="F258" s="65"/>
      <c r="G258" s="2"/>
      <c r="H258" s="2"/>
      <c r="I258" s="2"/>
      <c r="J258" s="2"/>
      <c r="K258" s="2"/>
      <c r="L258" s="2"/>
      <c r="M258" s="3"/>
    </row>
    <row r="259" spans="1:13" ht="12.75" customHeight="1" x14ac:dyDescent="0.2">
      <c r="A259" s="87">
        <f>A164</f>
        <v>73</v>
      </c>
      <c r="B259" s="81" t="str">
        <f>B164</f>
        <v>TP_P</v>
      </c>
      <c r="C259" s="70" t="str">
        <f>C164</f>
        <v>4</v>
      </c>
      <c r="D259" s="80">
        <f t="shared" si="1"/>
        <v>73</v>
      </c>
      <c r="E259" s="69"/>
      <c r="F259" s="65"/>
      <c r="G259" s="2"/>
      <c r="H259" s="2"/>
      <c r="I259" s="2"/>
      <c r="J259" s="2"/>
      <c r="K259" s="2"/>
      <c r="L259" s="2"/>
      <c r="M259" s="3"/>
    </row>
    <row r="260" spans="1:13" ht="12.75" customHeight="1" x14ac:dyDescent="0.2">
      <c r="A260" s="88">
        <f>A259</f>
        <v>73</v>
      </c>
      <c r="B260" s="82" t="str">
        <f>B259</f>
        <v>TP_P</v>
      </c>
      <c r="C260" s="73">
        <v>6</v>
      </c>
      <c r="D260" s="80">
        <f t="shared" si="1"/>
        <v>73</v>
      </c>
      <c r="E260" s="69"/>
      <c r="F260" s="65"/>
      <c r="G260" s="2"/>
      <c r="H260" s="2"/>
      <c r="I260" s="2"/>
      <c r="J260" s="2"/>
      <c r="K260" s="2"/>
      <c r="L260" s="2"/>
      <c r="M260" s="3"/>
    </row>
    <row r="261" spans="1:13" ht="12.75" customHeight="1" x14ac:dyDescent="0.2">
      <c r="A261" s="87">
        <f>A167</f>
        <v>74</v>
      </c>
      <c r="B261" s="81" t="str">
        <f>B167</f>
        <v>TP_P</v>
      </c>
      <c r="C261" s="70" t="str">
        <f>C167</f>
        <v>7</v>
      </c>
      <c r="D261" s="80">
        <f t="shared" si="1"/>
        <v>74</v>
      </c>
      <c r="E261" s="69"/>
      <c r="F261" s="65"/>
      <c r="G261" s="2"/>
      <c r="H261" s="2"/>
      <c r="I261" s="2"/>
      <c r="J261" s="2"/>
      <c r="K261" s="2"/>
      <c r="L261" s="2"/>
      <c r="M261" s="3"/>
    </row>
    <row r="262" spans="1:13" ht="12.75" customHeight="1" x14ac:dyDescent="0.2">
      <c r="A262" s="87">
        <f>A170</f>
        <v>75</v>
      </c>
      <c r="B262" s="81" t="str">
        <f>B170</f>
        <v>TP_P</v>
      </c>
      <c r="C262" s="70" t="str">
        <f>C170</f>
        <v>8</v>
      </c>
      <c r="D262" s="80">
        <f t="shared" si="1"/>
        <v>75</v>
      </c>
      <c r="E262" s="69"/>
      <c r="F262" s="65"/>
      <c r="G262" s="2"/>
      <c r="H262" s="2"/>
      <c r="I262" s="2"/>
      <c r="J262" s="2"/>
      <c r="K262" s="2"/>
      <c r="L262" s="2"/>
      <c r="M262" s="3"/>
    </row>
    <row r="263" spans="1:13" ht="12.75" customHeight="1" x14ac:dyDescent="0.2">
      <c r="A263" s="88">
        <f>A262</f>
        <v>75</v>
      </c>
      <c r="B263" s="82" t="str">
        <f>B262</f>
        <v>TP_P</v>
      </c>
      <c r="C263" s="70">
        <v>9</v>
      </c>
      <c r="D263" s="80">
        <f t="shared" si="1"/>
        <v>75</v>
      </c>
      <c r="E263" s="69"/>
      <c r="F263" s="65"/>
      <c r="G263" s="2"/>
      <c r="H263" s="2"/>
      <c r="I263" s="2"/>
      <c r="J263" s="2"/>
      <c r="K263" s="2"/>
      <c r="L263" s="2"/>
      <c r="M263" s="3"/>
    </row>
    <row r="264" spans="1:13" ht="12.75" customHeight="1" x14ac:dyDescent="0.2">
      <c r="A264" s="88"/>
      <c r="B264" s="82"/>
      <c r="C264" s="70"/>
      <c r="D264" s="80"/>
      <c r="E264" s="69"/>
      <c r="F264" s="65"/>
      <c r="G264" s="2"/>
      <c r="H264" s="2"/>
      <c r="I264" s="2"/>
      <c r="J264" s="2"/>
      <c r="K264" s="2"/>
      <c r="L264" s="2"/>
      <c r="M264" s="3"/>
    </row>
    <row r="265" spans="1:13" ht="12.75" customHeight="1" x14ac:dyDescent="0.2">
      <c r="A265" s="87"/>
      <c r="B265" s="81"/>
      <c r="C265" s="86" t="s">
        <v>33</v>
      </c>
      <c r="D265" s="80"/>
      <c r="E265" s="69"/>
      <c r="F265" s="65"/>
      <c r="G265" s="2"/>
      <c r="H265" s="2"/>
      <c r="I265" s="2"/>
      <c r="J265" s="2"/>
      <c r="K265" s="2"/>
      <c r="L265" s="2"/>
      <c r="M265" s="3"/>
    </row>
    <row r="266" spans="1:13" ht="12.75" customHeight="1" x14ac:dyDescent="0.2">
      <c r="A266" s="87">
        <f>A173</f>
        <v>61</v>
      </c>
      <c r="B266" s="81" t="str">
        <f>B173</f>
        <v>TPN</v>
      </c>
      <c r="C266" s="70" t="str">
        <f>C173</f>
        <v>1</v>
      </c>
      <c r="D266" s="80">
        <f t="shared" si="1"/>
        <v>61</v>
      </c>
      <c r="E266" s="98"/>
    </row>
    <row r="267" spans="1:13" ht="12.75" customHeight="1" x14ac:dyDescent="0.2">
      <c r="A267" s="87">
        <f>A176</f>
        <v>62</v>
      </c>
      <c r="B267" s="81" t="str">
        <f>B176</f>
        <v>TPN</v>
      </c>
      <c r="C267" s="70" t="str">
        <f>C176</f>
        <v>2</v>
      </c>
      <c r="D267" s="80">
        <f t="shared" si="1"/>
        <v>62</v>
      </c>
      <c r="E267" s="98"/>
    </row>
    <row r="268" spans="1:13" ht="12.75" customHeight="1" x14ac:dyDescent="0.2">
      <c r="A268" s="88">
        <f>A267</f>
        <v>62</v>
      </c>
      <c r="B268" s="82" t="str">
        <f>B267</f>
        <v>TPN</v>
      </c>
      <c r="C268" s="73">
        <v>3</v>
      </c>
      <c r="D268" s="80">
        <f t="shared" si="1"/>
        <v>62</v>
      </c>
      <c r="E268" s="98"/>
    </row>
    <row r="269" spans="1:13" ht="12.75" customHeight="1" x14ac:dyDescent="0.2">
      <c r="A269" s="87">
        <f>A182</f>
        <v>63</v>
      </c>
      <c r="B269" s="81" t="str">
        <f>B182</f>
        <v>TPN</v>
      </c>
      <c r="C269" s="70" t="str">
        <f>C182</f>
        <v>4</v>
      </c>
      <c r="D269" s="80">
        <f t="shared" si="1"/>
        <v>63</v>
      </c>
      <c r="E269" s="98"/>
    </row>
    <row r="270" spans="1:13" ht="12.75" customHeight="1" x14ac:dyDescent="0.2">
      <c r="A270" s="88">
        <f>A269</f>
        <v>63</v>
      </c>
      <c r="B270" s="82" t="str">
        <f>B269</f>
        <v>TPN</v>
      </c>
      <c r="C270" s="73">
        <v>6</v>
      </c>
      <c r="D270" s="80">
        <f t="shared" si="1"/>
        <v>63</v>
      </c>
      <c r="E270" s="98"/>
    </row>
    <row r="271" spans="1:13" ht="12.75" customHeight="1" x14ac:dyDescent="0.2">
      <c r="A271" s="87">
        <f>A185</f>
        <v>64</v>
      </c>
      <c r="B271" s="81" t="str">
        <f>B185</f>
        <v>TPN</v>
      </c>
      <c r="C271" s="70" t="str">
        <f>C185</f>
        <v>7</v>
      </c>
      <c r="D271" s="80">
        <f t="shared" si="1"/>
        <v>64</v>
      </c>
      <c r="E271" s="98"/>
    </row>
    <row r="272" spans="1:13" ht="12.75" customHeight="1" x14ac:dyDescent="0.2">
      <c r="A272" s="87">
        <f>A188</f>
        <v>65</v>
      </c>
      <c r="B272" s="81" t="str">
        <f>B188</f>
        <v>TPN</v>
      </c>
      <c r="C272" s="70" t="str">
        <f>C188</f>
        <v>8</v>
      </c>
      <c r="D272" s="80">
        <f t="shared" si="1"/>
        <v>65</v>
      </c>
      <c r="E272" s="98"/>
    </row>
    <row r="273" spans="1:5" ht="12.75" customHeight="1" x14ac:dyDescent="0.2">
      <c r="A273" s="88">
        <f>A272</f>
        <v>65</v>
      </c>
      <c r="B273" s="82" t="str">
        <f>B272</f>
        <v>TPN</v>
      </c>
      <c r="C273" s="73">
        <v>9</v>
      </c>
      <c r="D273" s="80">
        <f t="shared" si="1"/>
        <v>65</v>
      </c>
      <c r="E273" s="98"/>
    </row>
    <row r="274" spans="1:5" ht="12.75" customHeight="1" x14ac:dyDescent="0.2">
      <c r="A274" s="88"/>
      <c r="B274" s="82"/>
      <c r="C274" s="73"/>
      <c r="D274" s="80"/>
      <c r="E274" s="98"/>
    </row>
    <row r="275" spans="1:5" ht="12.75" customHeight="1" x14ac:dyDescent="0.2">
      <c r="A275" s="88"/>
      <c r="B275" s="82"/>
      <c r="C275" s="86" t="s">
        <v>102</v>
      </c>
      <c r="D275" s="80"/>
      <c r="E275" s="98"/>
    </row>
    <row r="276" spans="1:5" ht="12.75" customHeight="1" x14ac:dyDescent="0.2">
      <c r="A276" s="87">
        <f>A191</f>
        <v>91</v>
      </c>
      <c r="B276" s="81" t="str">
        <f>B191</f>
        <v>Turb</v>
      </c>
      <c r="C276" s="70" t="str">
        <f>C191</f>
        <v>1</v>
      </c>
      <c r="D276" s="80">
        <f t="shared" si="1"/>
        <v>91</v>
      </c>
      <c r="E276" s="98"/>
    </row>
    <row r="277" spans="1:5" ht="12.75" customHeight="1" x14ac:dyDescent="0.2">
      <c r="A277" s="87">
        <f>A194</f>
        <v>92</v>
      </c>
      <c r="B277" s="81" t="str">
        <f>B194</f>
        <v>Turb</v>
      </c>
      <c r="C277" s="70" t="str">
        <f>C194</f>
        <v>2</v>
      </c>
      <c r="D277" s="80">
        <f t="shared" si="1"/>
        <v>92</v>
      </c>
      <c r="E277" s="98"/>
    </row>
    <row r="278" spans="1:5" ht="12.75" customHeight="1" x14ac:dyDescent="0.2">
      <c r="A278" s="88">
        <f>A277</f>
        <v>92</v>
      </c>
      <c r="B278" s="82" t="str">
        <f>B277</f>
        <v>Turb</v>
      </c>
      <c r="C278" s="73">
        <v>3</v>
      </c>
      <c r="D278" s="80">
        <f t="shared" si="1"/>
        <v>92</v>
      </c>
      <c r="E278" s="98"/>
    </row>
    <row r="279" spans="1:5" ht="12.75" customHeight="1" x14ac:dyDescent="0.2">
      <c r="A279" s="87">
        <f>A197</f>
        <v>93</v>
      </c>
      <c r="B279" s="81" t="str">
        <f>B197</f>
        <v>Turb</v>
      </c>
      <c r="C279" s="70" t="str">
        <f>C197</f>
        <v>4</v>
      </c>
      <c r="D279" s="80">
        <f t="shared" si="1"/>
        <v>93</v>
      </c>
      <c r="E279" s="98"/>
    </row>
    <row r="280" spans="1:5" ht="12.75" customHeight="1" x14ac:dyDescent="0.2">
      <c r="A280" s="88">
        <f>A279</f>
        <v>93</v>
      </c>
      <c r="B280" s="82" t="str">
        <f>B279</f>
        <v>Turb</v>
      </c>
      <c r="C280" s="73">
        <v>6</v>
      </c>
      <c r="D280" s="80">
        <f t="shared" si="1"/>
        <v>93</v>
      </c>
      <c r="E280" s="98"/>
    </row>
    <row r="281" spans="1:5" ht="12.75" customHeight="1" x14ac:dyDescent="0.2">
      <c r="A281" s="87">
        <f>A200</f>
        <v>94</v>
      </c>
      <c r="B281" s="81" t="str">
        <f>B200</f>
        <v>Turb</v>
      </c>
      <c r="C281" s="70" t="str">
        <f>C200</f>
        <v>7</v>
      </c>
      <c r="D281" s="80">
        <f t="shared" si="1"/>
        <v>94</v>
      </c>
      <c r="E281" s="98"/>
    </row>
    <row r="282" spans="1:5" ht="12.75" customHeight="1" x14ac:dyDescent="0.2">
      <c r="A282" s="87">
        <f>A203</f>
        <v>95</v>
      </c>
      <c r="B282" s="81" t="str">
        <f>B203</f>
        <v>Turb</v>
      </c>
      <c r="C282" s="70" t="str">
        <f>C203</f>
        <v>8</v>
      </c>
      <c r="D282" s="80">
        <f t="shared" si="1"/>
        <v>95</v>
      </c>
      <c r="E282" s="98"/>
    </row>
    <row r="283" spans="1:5" ht="12.75" customHeight="1" x14ac:dyDescent="0.2">
      <c r="A283" s="88">
        <f>A282</f>
        <v>95</v>
      </c>
      <c r="B283" s="82" t="str">
        <f>B282</f>
        <v>Turb</v>
      </c>
      <c r="C283" s="70">
        <v>9</v>
      </c>
      <c r="D283" s="80">
        <f t="shared" si="1"/>
        <v>95</v>
      </c>
      <c r="E283" s="98"/>
    </row>
    <row r="284" spans="1:5" ht="12.75" customHeight="1" x14ac:dyDescent="0.2">
      <c r="A284" s="88"/>
      <c r="B284" s="82"/>
      <c r="C284" s="73"/>
      <c r="D284" s="80"/>
      <c r="E284" s="98"/>
    </row>
    <row r="285" spans="1:5" ht="12.75" customHeight="1" x14ac:dyDescent="0.2">
      <c r="A285" s="88"/>
      <c r="B285" s="82"/>
      <c r="C285" s="86" t="s">
        <v>32</v>
      </c>
      <c r="D285" s="80"/>
      <c r="E285" s="98"/>
    </row>
    <row r="286" spans="1:5" ht="12.75" customHeight="1" x14ac:dyDescent="0.2">
      <c r="A286" s="87">
        <f>A23</f>
        <v>81</v>
      </c>
      <c r="B286" s="81" t="str">
        <f>B23</f>
        <v>SUSSOL</v>
      </c>
      <c r="C286" s="70" t="str">
        <f>C23</f>
        <v>1</v>
      </c>
      <c r="D286" s="80">
        <f t="shared" si="1"/>
        <v>81</v>
      </c>
      <c r="E286" s="98"/>
    </row>
    <row r="287" spans="1:5" ht="12.75" customHeight="1" x14ac:dyDescent="0.2">
      <c r="A287" s="87">
        <f>A26</f>
        <v>82</v>
      </c>
      <c r="B287" s="81" t="str">
        <f>B26</f>
        <v>SUSSOL</v>
      </c>
      <c r="C287" s="70" t="str">
        <f>C26</f>
        <v>2</v>
      </c>
      <c r="D287" s="80">
        <f t="shared" si="1"/>
        <v>82</v>
      </c>
      <c r="E287" s="98"/>
    </row>
    <row r="288" spans="1:5" ht="12.75" customHeight="1" x14ac:dyDescent="0.2">
      <c r="A288" s="88">
        <f>A287</f>
        <v>82</v>
      </c>
      <c r="B288" s="82" t="str">
        <f>B287</f>
        <v>SUSSOL</v>
      </c>
      <c r="C288" s="73">
        <v>3</v>
      </c>
      <c r="D288" s="80">
        <f t="shared" si="1"/>
        <v>82</v>
      </c>
      <c r="E288" s="98"/>
    </row>
    <row r="289" spans="1:5" ht="12.75" customHeight="1" x14ac:dyDescent="0.2">
      <c r="A289" s="87">
        <f>A29</f>
        <v>83</v>
      </c>
      <c r="B289" s="81" t="str">
        <f>B29</f>
        <v>SUSSOL</v>
      </c>
      <c r="C289" s="70" t="str">
        <f>C29</f>
        <v>4</v>
      </c>
      <c r="D289" s="80">
        <f t="shared" si="1"/>
        <v>83</v>
      </c>
      <c r="E289" s="98"/>
    </row>
    <row r="290" spans="1:5" ht="12.75" customHeight="1" x14ac:dyDescent="0.2">
      <c r="A290" s="88">
        <f>A289</f>
        <v>83</v>
      </c>
      <c r="B290" s="82" t="str">
        <f>B289</f>
        <v>SUSSOL</v>
      </c>
      <c r="C290" s="73">
        <v>6</v>
      </c>
      <c r="D290" s="80">
        <f t="shared" si="1"/>
        <v>83</v>
      </c>
      <c r="E290" s="98"/>
    </row>
    <row r="291" spans="1:5" ht="12.75" customHeight="1" x14ac:dyDescent="0.2">
      <c r="A291" s="87">
        <f>A32</f>
        <v>84</v>
      </c>
      <c r="B291" s="81" t="str">
        <f>B32</f>
        <v>SUSSOL</v>
      </c>
      <c r="C291" s="70" t="str">
        <f>C32</f>
        <v>7</v>
      </c>
      <c r="D291" s="80">
        <f t="shared" si="1"/>
        <v>84</v>
      </c>
      <c r="E291" s="98"/>
    </row>
    <row r="292" spans="1:5" ht="12.75" customHeight="1" x14ac:dyDescent="0.2">
      <c r="A292" s="87">
        <f>A35</f>
        <v>85</v>
      </c>
      <c r="B292" s="81" t="str">
        <f>B35</f>
        <v>SUSSOL</v>
      </c>
      <c r="C292" s="70" t="str">
        <f>C35</f>
        <v>8</v>
      </c>
      <c r="D292" s="80">
        <f t="shared" si="1"/>
        <v>85</v>
      </c>
      <c r="E292" s="98"/>
    </row>
    <row r="293" spans="1:5" ht="12.75" customHeight="1" x14ac:dyDescent="0.2">
      <c r="A293" s="82">
        <f>A292</f>
        <v>85</v>
      </c>
      <c r="B293" s="82" t="str">
        <f>B292</f>
        <v>SUSSOL</v>
      </c>
      <c r="C293" s="73">
        <v>9</v>
      </c>
      <c r="D293" s="80">
        <f t="shared" si="1"/>
        <v>85</v>
      </c>
      <c r="E293" s="98"/>
    </row>
    <row r="294" spans="1:5" ht="12.75" customHeight="1" x14ac:dyDescent="0.2">
      <c r="A294" s="6"/>
      <c r="B294" s="6"/>
      <c r="C294" s="6"/>
      <c r="D294" s="80"/>
      <c r="E294" s="98"/>
    </row>
    <row r="295" spans="1:5" ht="12.75" customHeight="1" x14ac:dyDescent="0.2">
      <c r="B295" s="97"/>
      <c r="C295" s="4" t="s">
        <v>183</v>
      </c>
    </row>
    <row r="296" spans="1:5" ht="12.75" customHeight="1" x14ac:dyDescent="0.2">
      <c r="B296" s="97"/>
      <c r="C296" s="97" t="s">
        <v>182</v>
      </c>
    </row>
    <row r="297" spans="1:5" ht="12.75" customHeight="1" x14ac:dyDescent="0.2">
      <c r="B297" s="97"/>
      <c r="C297" s="97" t="s">
        <v>75</v>
      </c>
    </row>
    <row r="298" spans="1:5" ht="12.75" customHeight="1" x14ac:dyDescent="0.2">
      <c r="B298" s="97"/>
      <c r="C298" s="97"/>
    </row>
    <row r="299" spans="1:5" ht="12.75" customHeight="1" x14ac:dyDescent="0.2">
      <c r="B299" s="97"/>
      <c r="C299" s="97"/>
    </row>
    <row r="300" spans="1:5" ht="12.75" customHeight="1" x14ac:dyDescent="0.2">
      <c r="B300" s="97"/>
      <c r="C300" s="97"/>
    </row>
    <row r="301" spans="1:5" ht="12.75" customHeight="1" x14ac:dyDescent="0.2">
      <c r="B301" s="97"/>
      <c r="C301" s="97"/>
    </row>
    <row r="302" spans="1:5" ht="12.75" customHeight="1" x14ac:dyDescent="0.2">
      <c r="B302" s="97"/>
      <c r="C302" s="97"/>
    </row>
    <row r="303" spans="1:5" ht="12.75" customHeight="1" x14ac:dyDescent="0.2">
      <c r="B303" s="97"/>
      <c r="C303" s="97"/>
    </row>
    <row r="304" spans="1:5" ht="12.75" customHeight="1" x14ac:dyDescent="0.2">
      <c r="B304" s="97"/>
      <c r="C304" s="97"/>
    </row>
    <row r="305" spans="2:3" ht="12.75" customHeight="1" x14ac:dyDescent="0.2">
      <c r="B305" s="97"/>
      <c r="C305" s="97"/>
    </row>
    <row r="306" spans="2:3" ht="12.75" customHeight="1" x14ac:dyDescent="0.2">
      <c r="B306" s="97"/>
      <c r="C306" s="97"/>
    </row>
  </sheetData>
  <sheetProtection sheet="1"/>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38"/>
  <sheetViews>
    <sheetView tabSelected="1" topLeftCell="A7" workbookViewId="0">
      <selection activeCell="C27" sqref="C27"/>
    </sheetView>
  </sheetViews>
  <sheetFormatPr defaultRowHeight="12.75" x14ac:dyDescent="0.2"/>
  <cols>
    <col min="1" max="1" width="12.7109375" customWidth="1"/>
    <col min="2" max="2" width="18.140625" customWidth="1"/>
    <col min="3" max="10" width="8.7109375" customWidth="1"/>
    <col min="16" max="16" width="11.5703125" bestFit="1" customWidth="1"/>
  </cols>
  <sheetData>
    <row r="1" spans="1:18" ht="18" customHeight="1" x14ac:dyDescent="0.2"/>
    <row r="2" spans="1:18" ht="12.75" customHeight="1" x14ac:dyDescent="0.2"/>
    <row r="3" spans="1:18" ht="12.75" customHeight="1" x14ac:dyDescent="0.2"/>
    <row r="4" spans="1:18" ht="12.75" customHeight="1" x14ac:dyDescent="0.2">
      <c r="F4" s="24"/>
    </row>
    <row r="5" spans="1:18" ht="12.75" customHeight="1" x14ac:dyDescent="0.2">
      <c r="F5" s="24"/>
    </row>
    <row r="6" spans="1:18" ht="12.75" customHeight="1" x14ac:dyDescent="0.2"/>
    <row r="7" spans="1:18" ht="12.75" customHeight="1" x14ac:dyDescent="0.2"/>
    <row r="8" spans="1:18" ht="12.75" customHeight="1" x14ac:dyDescent="0.2"/>
    <row r="9" spans="1:18" ht="18" customHeight="1" x14ac:dyDescent="0.2"/>
    <row r="10" spans="1:18" ht="12.75" customHeight="1" x14ac:dyDescent="0.2"/>
    <row r="11" spans="1:18" ht="12.75" customHeight="1" x14ac:dyDescent="0.2"/>
    <row r="12" spans="1:18" ht="12.75" customHeight="1" x14ac:dyDescent="0.2">
      <c r="B12" s="4" t="s">
        <v>44</v>
      </c>
      <c r="K12" s="20" t="s">
        <v>51</v>
      </c>
      <c r="L12" s="20" t="s">
        <v>54</v>
      </c>
      <c r="M12" s="20"/>
      <c r="O12" s="20" t="s">
        <v>56</v>
      </c>
    </row>
    <row r="13" spans="1:18" ht="12.75" customHeight="1" x14ac:dyDescent="0.2">
      <c r="B13" s="1" t="str">
        <f>Main!B13</f>
        <v>Date</v>
      </c>
      <c r="C13" s="1" t="str">
        <f>Main!C12</f>
        <v>FC</v>
      </c>
      <c r="D13" s="1" t="str">
        <f>Main!D12</f>
        <v>Oxygen</v>
      </c>
      <c r="E13" s="1" t="str">
        <f>Main!E12</f>
        <v>pH</v>
      </c>
      <c r="F13" s="1" t="str">
        <f>Main!F12</f>
        <v>TP</v>
      </c>
      <c r="G13" s="1" t="str">
        <f>Main!G12</f>
        <v>TSS</v>
      </c>
      <c r="H13" s="1" t="str">
        <f>Main!H12</f>
        <v>Temp</v>
      </c>
      <c r="I13" s="1" t="str">
        <f>Main!I12</f>
        <v>TN</v>
      </c>
      <c r="J13" s="19" t="str">
        <f>Main!J12</f>
        <v>Turbidity</v>
      </c>
      <c r="K13" s="21" t="s">
        <v>52</v>
      </c>
      <c r="L13" s="21" t="s">
        <v>52</v>
      </c>
      <c r="M13" s="21" t="s">
        <v>55</v>
      </c>
      <c r="N13" s="1" t="s">
        <v>57</v>
      </c>
      <c r="O13" s="21" t="s">
        <v>52</v>
      </c>
      <c r="P13" s="18"/>
    </row>
    <row r="14" spans="1:18" ht="12.75" customHeight="1" x14ac:dyDescent="0.2">
      <c r="A14" s="8">
        <v>1</v>
      </c>
      <c r="B14" s="9">
        <f>Main!B14</f>
        <v>40106</v>
      </c>
      <c r="C14" s="22">
        <v>67.359404894576272</v>
      </c>
      <c r="D14" s="22">
        <v>93.109630000000038</v>
      </c>
      <c r="E14" s="22">
        <v>99.046519959000193</v>
      </c>
      <c r="F14" s="10">
        <v>81.445192308915296</v>
      </c>
      <c r="G14" s="10">
        <v>95.495377539212797</v>
      </c>
      <c r="H14" s="22">
        <v>91.276307000000003</v>
      </c>
      <c r="I14" s="10">
        <v>23.541491018900004</v>
      </c>
      <c r="J14" s="10">
        <v>94.012055996959162</v>
      </c>
      <c r="K14" s="23">
        <f>IF(Main!F14*Main!I14=0,MIN(F14,I14),IF(Main!I14/Main!F14&lt;10,I14,IF(Main!I14/Main!F14&gt;20,F14,MIN(F14,I14))))</f>
        <v>81.445192308915296</v>
      </c>
      <c r="L14" s="23">
        <f>IF(G14*J14=0,MAX(G14,J14),2/(1/G14+1/J14))</f>
        <v>94.747911605838112</v>
      </c>
      <c r="M14" s="24">
        <f>IF(AND(C14&lt;80,C14&gt;0),(85-C14)/2,0)+IF(AND(D14&lt;80,D14&gt;0),(85-D14)/2,0)+IF(AND(E14&lt;80,E14&gt;0),(85-E14)/2,0)+IF(AND(H14&lt;80,H14&gt;0),(85-H14)/2,0)+IF(AND(K14&lt;80,K14&gt;0),IF((85-K14)/2&gt;20,20,(85-K14)/2),0)+IF(AND(L14&lt;80,L14&gt;0),IF((85-L14)/2&gt;20,20,(85-L14)/2),0)</f>
        <v>8.8202975527118639</v>
      </c>
      <c r="N14">
        <f>COUNTIF(C14:E14,"&gt;0")+COUNTIF(H14:H14,"&gt;0")+COUNTIF(K14:L14,"&gt;0")</f>
        <v>6</v>
      </c>
      <c r="O14">
        <f>IF(N14=0,0,IF((C14+D14+E14+H14+K14+L14)/N14-M14&lt;1,1,(C14+D14+E14+H14+K14+L14)/N14-M14))</f>
        <v>79.010530075343112</v>
      </c>
      <c r="P14" s="8"/>
      <c r="Q14">
        <f>AVERAGE(M14:M25)</f>
        <v>12.373888699336554</v>
      </c>
      <c r="R14">
        <f>C14-M14</f>
        <v>58.539107341864408</v>
      </c>
    </row>
    <row r="15" spans="1:18" ht="12.75" customHeight="1" x14ac:dyDescent="0.2">
      <c r="A15" s="8">
        <v>2</v>
      </c>
      <c r="B15" s="9">
        <f>Main!B15</f>
        <v>40134</v>
      </c>
      <c r="C15" s="22">
        <v>72.466836600242416</v>
      </c>
      <c r="D15" s="22">
        <v>97.327746700000034</v>
      </c>
      <c r="E15" s="22">
        <v>99.450993599999947</v>
      </c>
      <c r="F15" s="10">
        <v>93.183411619878143</v>
      </c>
      <c r="G15" s="10">
        <v>100</v>
      </c>
      <c r="H15" s="22">
        <v>96.224547999999999</v>
      </c>
      <c r="I15" s="10">
        <v>79.443644281600001</v>
      </c>
      <c r="J15" s="10">
        <v>100</v>
      </c>
      <c r="K15" s="23">
        <f>IF(Main!F15*Main!I15=0,MIN(F15,I15),IF(Main!I15/Main!F15&lt;10,I15,IF(Main!I15/Main!F15&gt;20,F15,MIN(F15,I15))))</f>
        <v>93.183411619878143</v>
      </c>
      <c r="L15" s="23">
        <f>IF(G15*J15=0,MAX(G15,J15),2/(1/G15+1/J15))</f>
        <v>100</v>
      </c>
      <c r="M15" s="24">
        <f>IF(AND(C15&lt;80,C15&gt;0),(85-C15)/2,0)+IF(AND(D15&lt;80,D15&gt;0),(85-D15)/2,0)+IF(AND(E15&lt;80,E15&gt;0),(85-E15)/2,0)+IF(AND(H15&lt;80,H15&gt;0),(85-H15)/2,0)+IF(AND(K15&lt;80,K15&gt;0),IF((85-K15)/2&gt;20,20,(85-K15)/2),0)+IF(AND(L15&lt;80,L15&gt;0),IF((85-L15)/2&gt;20,20,(85-L15)/2),0)</f>
        <v>6.2665816998787918</v>
      </c>
      <c r="N15">
        <f>COUNTIF(C15:E15,"&gt;0")+COUNTIF(H15:H15,"&gt;0")+COUNTIF(K15:L15,"&gt;0")</f>
        <v>6</v>
      </c>
      <c r="O15">
        <f>IF(N15=0,0,IF((C15+D15+E15+H15+K15+L15)/N15-M15&lt;1,1,(C15+D15+E15+H15+K15+L15)/N15-M15))</f>
        <v>86.842341053474627</v>
      </c>
      <c r="P15" s="8"/>
      <c r="R15">
        <f t="shared" ref="R15:R25" si="0">C15-M15</f>
        <v>66.200254900363632</v>
      </c>
    </row>
    <row r="16" spans="1:18" ht="12.75" customHeight="1" x14ac:dyDescent="0.2">
      <c r="A16" s="8">
        <v>3</v>
      </c>
      <c r="B16" s="9">
        <f>Main!B16</f>
        <v>40162</v>
      </c>
      <c r="C16" s="22">
        <v>64.656923021546646</v>
      </c>
      <c r="D16" s="22">
        <v>100</v>
      </c>
      <c r="E16" s="22">
        <v>97.703523791999942</v>
      </c>
      <c r="F16" s="10">
        <v>73.518528885649332</v>
      </c>
      <c r="G16" s="10">
        <v>86.268433930554622</v>
      </c>
      <c r="H16" s="22">
        <v>100</v>
      </c>
      <c r="I16" s="10">
        <v>1</v>
      </c>
      <c r="J16" s="10">
        <v>82.001472344940694</v>
      </c>
      <c r="K16" s="23">
        <f>IF(Main!F16*Main!I16=0,MIN(F16,I16),IF(Main!I16/Main!F16&lt;10,I16,IF(Main!I16/Main!F16&gt;20,F16,MIN(F16,I16))))</f>
        <v>73.518528885649332</v>
      </c>
      <c r="L16" s="23">
        <f>IF(G16*J16=0,MAX(G16,J16),2/(1/G16+1/J16))</f>
        <v>84.080852670301937</v>
      </c>
      <c r="M16" s="24">
        <f>IF(AND(C16&lt;80,C16&gt;0),(85-C16)/2,0)+IF(AND(D16&lt;80,D16&gt;0),(85-D16)/2,0)+IF(AND(E16&lt;80,E16&gt;0),(85-E16)/2,0)+IF(AND(H16&lt;80,H16&gt;0),(85-H16)/2,0)+IF(AND(K16&lt;80,K16&gt;0),IF((85-K16)/2&gt;20,20,(85-K16)/2),0)+IF(AND(L16&lt;80,L16&gt;0),IF((85-L16)/2&gt;20,20,(85-L16)/2),0)</f>
        <v>15.912274046402011</v>
      </c>
      <c r="N16">
        <f>COUNTIF(C16:E16,"&gt;0")+COUNTIF(H16:H16,"&gt;0")+COUNTIF(K16:L16,"&gt;0")</f>
        <v>6</v>
      </c>
      <c r="O16">
        <f>IF(N16=0,0,IF((C16+D16+E16+H16+K16+L16)/N16-M16&lt;1,1,(C16+D16+E16+H16+K16+L16)/N16-M16))</f>
        <v>70.747697348514293</v>
      </c>
      <c r="P16" s="8"/>
      <c r="R16">
        <f t="shared" si="0"/>
        <v>48.744648975144635</v>
      </c>
    </row>
    <row r="17" spans="1:18" ht="12.75" customHeight="1" x14ac:dyDescent="0.2">
      <c r="A17" s="8">
        <v>4</v>
      </c>
      <c r="B17" s="9">
        <f>Main!B17</f>
        <v>40204</v>
      </c>
      <c r="C17" s="22">
        <v>64.656923021546646</v>
      </c>
      <c r="D17" s="22">
        <v>98.768320000000045</v>
      </c>
      <c r="E17" s="22">
        <v>100</v>
      </c>
      <c r="F17" s="10">
        <v>91.413252455514595</v>
      </c>
      <c r="G17" s="10">
        <v>100</v>
      </c>
      <c r="H17" s="22">
        <v>100</v>
      </c>
      <c r="I17" s="10">
        <v>1</v>
      </c>
      <c r="J17" s="10">
        <v>99.269548166477506</v>
      </c>
      <c r="K17" s="23">
        <f>IF(Main!F17*Main!I17=0,MIN(F17,I17),IF(Main!I17/Main!F17&lt;10,I17,IF(Main!I17/Main!F17&gt;20,F17,MIN(F17,I17))))</f>
        <v>91.413252455514595</v>
      </c>
      <c r="L17" s="23">
        <f>IF(G17*J17=0,MAX(G17,J17),2/(1/G17+1/J17))</f>
        <v>99.633435293930489</v>
      </c>
      <c r="M17" s="24">
        <f>IF(AND(C17&lt;80,C17&gt;0),(85-C17)/2,0)+IF(AND(D17&lt;80,D17&gt;0),(85-D17)/2,0)+IF(AND(E17&lt;80,E17&gt;0),(85-E17)/2,0)+IF(AND(H17&lt;80,H17&gt;0),(85-H17)/2,0)+IF(AND(K17&lt;80,K17&gt;0),IF((85-K17)/2&gt;20,20,(85-K17)/2),0)+IF(AND(L17&lt;80,L17&gt;0),IF((85-L17)/2&gt;20,20,(85-L17)/2),0)</f>
        <v>10.171538489226677</v>
      </c>
      <c r="N17">
        <f>COUNTIF(C17:E17,"&gt;0")+COUNTIF(H17:H17,"&gt;0")+COUNTIF(K17:L17,"&gt;0")</f>
        <v>6</v>
      </c>
      <c r="O17">
        <f>IF(N17=0,0,IF((C17+D17+E17+H17+K17+L17)/N17-M17&lt;1,1,(C17+D17+E17+H17+K17+L17)/N17-M17))</f>
        <v>82.24044997260529</v>
      </c>
      <c r="P17" s="8"/>
      <c r="R17">
        <f t="shared" si="0"/>
        <v>54.485384532319969</v>
      </c>
    </row>
    <row r="18" spans="1:18" ht="12.75" customHeight="1" x14ac:dyDescent="0.2">
      <c r="A18" s="8">
        <v>5</v>
      </c>
      <c r="B18" s="9">
        <f>Main!B18</f>
        <v>40232</v>
      </c>
      <c r="C18" s="22">
        <v>88.05525667038124</v>
      </c>
      <c r="D18" s="22">
        <v>100</v>
      </c>
      <c r="E18" s="22">
        <v>98.037431900000001</v>
      </c>
      <c r="F18" s="10">
        <v>95.062811194839227</v>
      </c>
      <c r="G18" s="10">
        <v>100</v>
      </c>
      <c r="H18" s="22">
        <v>100</v>
      </c>
      <c r="I18" s="10">
        <v>62.639392824399991</v>
      </c>
      <c r="J18" s="10">
        <v>99.924559832258709</v>
      </c>
      <c r="K18" s="23">
        <f>IF(Main!F18*Main!I18=0,MIN(F18,I18),IF(Main!I18/Main!F18&lt;10,I18,IF(Main!I18/Main!F18&gt;20,F18,MIN(F18,I18))))</f>
        <v>95.062811194839227</v>
      </c>
      <c r="L18" s="23">
        <f>IF(G18*J18=0,MAX(G18,J18),2/(1/G18+1/J18))</f>
        <v>99.962265682713223</v>
      </c>
      <c r="M18" s="24">
        <f>IF(AND(C18&lt;80,C18&gt;0),(85-C18)/2,0)+IF(AND(D18&lt;80,D18&gt;0),(85-D18)/2,0)+IF(AND(E18&lt;80,E18&gt;0),(85-E18)/2,0)+IF(AND(H18&lt;80,H18&gt;0),(85-H18)/2,0)+IF(AND(K18&lt;80,K18&gt;0),IF((85-K18)/2&gt;20,20,(85-K18)/2),0)+IF(AND(L18&lt;80,L18&gt;0),IF((85-L18)/2&gt;20,20,(85-L18)/2),0)</f>
        <v>0</v>
      </c>
      <c r="N18">
        <f>COUNTIF(C18:E18,"&gt;0")+COUNTIF(H18:H18,"&gt;0")+COUNTIF(K18:L18,"&gt;0")</f>
        <v>6</v>
      </c>
      <c r="O18">
        <f>IF(N18=0,0,IF((C18+D18+E18+H18+K18+L18)/N18-M18&lt;1,1,(C18+D18+E18+H18+K18+L18)/N18-M18))</f>
        <v>96.852960907988958</v>
      </c>
      <c r="P18" s="8"/>
      <c r="R18">
        <f t="shared" si="0"/>
        <v>88.05525667038124</v>
      </c>
    </row>
    <row r="19" spans="1:18" ht="12.75" customHeight="1" x14ac:dyDescent="0.2">
      <c r="A19" s="8">
        <v>6</v>
      </c>
      <c r="B19" s="9">
        <f>Main!B19</f>
        <v>40253</v>
      </c>
      <c r="C19" s="22">
        <v>91.614745140193619</v>
      </c>
      <c r="D19" s="22">
        <v>100</v>
      </c>
      <c r="E19" s="22">
        <v>100</v>
      </c>
      <c r="F19" s="10">
        <v>86.869530660688795</v>
      </c>
      <c r="G19" s="10">
        <v>100</v>
      </c>
      <c r="H19" s="22">
        <v>100</v>
      </c>
      <c r="I19" s="10">
        <v>48.293317555599991</v>
      </c>
      <c r="J19" s="10">
        <v>96.678988135261037</v>
      </c>
      <c r="K19" s="23">
        <f>IF(Main!F19*Main!I19=0,MIN(F19,I19),IF(Main!I19/Main!F19&lt;10,I19,IF(Main!I19/Main!F19&gt;20,F19,MIN(F19,I19))))</f>
        <v>86.869530660688795</v>
      </c>
      <c r="L19" s="23">
        <f>IF(G19*J19=0,MAX(G19,J19),2/(1/G19+1/J19))</f>
        <v>98.311455689178644</v>
      </c>
      <c r="M19" s="24">
        <f>IF(AND(C19&lt;80,C19&gt;0),(85-C19)/2,0)+IF(AND(D19&lt;80,D19&gt;0),(85-D19)/2,0)+IF(AND(E19&lt;80,E19&gt;0),(85-E19)/2,0)+IF(AND(H19&lt;80,H19&gt;0),(85-H19)/2,0)+IF(AND(K19&lt;80,K19&gt;0),IF((85-K19)/2&gt;20,20,(85-K19)/2),0)+IF(AND(L19&lt;80,L19&gt;0),IF((85-L19)/2&gt;20,20,(85-L19)/2),0)</f>
        <v>0</v>
      </c>
      <c r="N19">
        <f>COUNTIF(C19:E19,"&gt;0")+COUNTIF(H19:H19,"&gt;0")+COUNTIF(K19:L19,"&gt;0")</f>
        <v>6</v>
      </c>
      <c r="O19">
        <f>IF(N19=0,0,IF((C19+D19+E19+H19+K19+L19)/N19-M19&lt;1,1,(C19+D19+E19+H19+K19+L19)/N19-M19))</f>
        <v>96.132621915010176</v>
      </c>
      <c r="P19" s="8"/>
      <c r="R19">
        <f t="shared" si="0"/>
        <v>91.614745140193619</v>
      </c>
    </row>
    <row r="20" spans="1:18" ht="12.75" customHeight="1" x14ac:dyDescent="0.2">
      <c r="A20" s="52">
        <v>7</v>
      </c>
      <c r="B20" s="9">
        <f>Main!B20</f>
        <v>40288</v>
      </c>
      <c r="C20" s="22">
        <v>80.749052073970162</v>
      </c>
      <c r="D20" s="22">
        <v>98.312608300000051</v>
      </c>
      <c r="E20" s="22">
        <v>99.237889247999988</v>
      </c>
      <c r="F20" s="10">
        <v>81.133711903796637</v>
      </c>
      <c r="G20" s="10">
        <v>94.688522410125898</v>
      </c>
      <c r="H20" s="22">
        <v>98.250531999999993</v>
      </c>
      <c r="I20" s="10">
        <v>62.44141230759999</v>
      </c>
      <c r="J20" s="10">
        <v>94.138610091989293</v>
      </c>
      <c r="K20" s="23">
        <f>IF(Main!F20*Main!I20=0,MIN(F20,I20),IF(Main!I20/Main!F20&lt;10,I20,IF(Main!I20/Main!F20&gt;20,F20,MIN(F20,I20))))</f>
        <v>81.133711903796637</v>
      </c>
      <c r="L20" s="23">
        <f>IF(G20*J20=0,MAX(G20,J20),2/(1/G20+1/J20))</f>
        <v>94.412765509253092</v>
      </c>
      <c r="M20" s="24">
        <f>IF(AND(C20&lt;80,C20&gt;0),(85-C20)/2,0)+IF(AND(D20&lt;80,D20&gt;0),(85-D20)/2,0)+IF(AND(E20&lt;80,E20&gt;0),(85-E20)/2,0)+IF(AND(H20&lt;80,H20&gt;0),(85-H20)/2,0)+IF(AND(K20&lt;80,K20&gt;0),IF((85-K20)/2&gt;20,20,(85-K20)/2),0)+IF(AND(L20&lt;80,L20&gt;0),IF((85-L20)/2&gt;20,20,(85-L20)/2),0)</f>
        <v>0</v>
      </c>
      <c r="N20">
        <f>COUNTIF(C20:E20,"&gt;0")+COUNTIF(H20:H20,"&gt;0")+COUNTIF(K20:L20,"&gt;0")</f>
        <v>6</v>
      </c>
      <c r="O20">
        <f>IF(N20=0,0,IF((C20+D20+E20+H20+K20+L20)/N20-M20&lt;1,1,(C20+D20+E20+H20+K20+L20)/N20-M20))</f>
        <v>92.016093172503318</v>
      </c>
      <c r="P20" s="8"/>
      <c r="R20">
        <f t="shared" si="0"/>
        <v>80.749052073970162</v>
      </c>
    </row>
    <row r="21" spans="1:18" ht="12.75" customHeight="1" x14ac:dyDescent="0.2">
      <c r="A21" s="8">
        <v>8</v>
      </c>
      <c r="B21" s="9">
        <f>Main!B21</f>
        <v>40316</v>
      </c>
      <c r="C21" s="22">
        <v>61.605601316105329</v>
      </c>
      <c r="D21" s="22">
        <v>91.684139200000004</v>
      </c>
      <c r="E21" s="22">
        <v>96.93690111900014</v>
      </c>
      <c r="F21" s="10">
        <v>91.189762559278449</v>
      </c>
      <c r="G21" s="10">
        <v>98.894134457048764</v>
      </c>
      <c r="H21" s="22">
        <v>87.957066999999995</v>
      </c>
      <c r="I21" s="10">
        <v>94.214918995600001</v>
      </c>
      <c r="J21" s="10">
        <v>100</v>
      </c>
      <c r="K21" s="23">
        <f>IF(Main!F21*Main!I21=0,MIN(F21,I21),IF(Main!I21/Main!F21&lt;10,I21,IF(Main!I21/Main!F21&gt;20,F21,MIN(F21,I21))))</f>
        <v>91.189762559278449</v>
      </c>
      <c r="L21" s="23">
        <f>IF(G21*J21=0,MAX(G21,J21),2/(1/G21+1/J21))</f>
        <v>99.443992882962547</v>
      </c>
      <c r="M21" s="24">
        <f>IF(AND(C21&lt;80,C21&gt;0),(85-C21)/2,0)+IF(AND(D21&lt;80,D21&gt;0),(85-D21)/2,0)+IF(AND(E21&lt;80,E21&gt;0),(85-E21)/2,0)+IF(AND(H21&lt;80,H21&gt;0),(85-H21)/2,0)+IF(AND(K21&lt;80,K21&gt;0),IF((85-K21)/2&gt;20,20,(85-K21)/2),0)+IF(AND(L21&lt;80,L21&gt;0),IF((85-L21)/2&gt;20,20,(85-L21)/2),0)</f>
        <v>11.697199341947336</v>
      </c>
      <c r="N21">
        <f>COUNTIF(C21:E21,"&gt;0")+COUNTIF(H21:H21,"&gt;0")+COUNTIF(K21:L21,"&gt;0")</f>
        <v>6</v>
      </c>
      <c r="O21">
        <f>IF(N21=0,0,IF((C21+D21+E21+H21+K21+L21)/N21-M21&lt;1,1,(C21+D21+E21+H21+K21+L21)/N21-M21))</f>
        <v>76.439044670943744</v>
      </c>
      <c r="P21" s="8"/>
      <c r="R21">
        <f t="shared" si="0"/>
        <v>49.908401974157997</v>
      </c>
    </row>
    <row r="22" spans="1:18" ht="12.75" customHeight="1" x14ac:dyDescent="0.2">
      <c r="A22" s="8">
        <v>9</v>
      </c>
      <c r="B22" s="9">
        <f>Main!B22</f>
        <v>40351</v>
      </c>
      <c r="C22" s="22">
        <v>85.367859081415943</v>
      </c>
      <c r="D22" s="22">
        <v>84.05770030000005</v>
      </c>
      <c r="E22" s="22">
        <v>97.419754236000131</v>
      </c>
      <c r="F22" s="10">
        <v>87.95562435905272</v>
      </c>
      <c r="G22" s="10">
        <v>98.02579835215073</v>
      </c>
      <c r="H22" s="22">
        <v>70.236208000000005</v>
      </c>
      <c r="I22" s="10">
        <v>84.577691360000003</v>
      </c>
      <c r="J22" s="10">
        <v>96.788068923607057</v>
      </c>
      <c r="K22" s="23">
        <f>IF(Main!F22*Main!I22=0,MIN(F22,I22),IF(Main!I22/Main!F22&lt;10,I22,IF(Main!I22/Main!F22&gt;20,F22,MIN(F22,I22))))</f>
        <v>84.577691360000003</v>
      </c>
      <c r="L22" s="23">
        <f>IF(G22*J22=0,MAX(G22,J22),2/(1/G22+1/J22))</f>
        <v>97.40300174596662</v>
      </c>
      <c r="M22" s="24">
        <f>IF(AND(C22&lt;80,C22&gt;0),(85-C22)/2,0)+IF(AND(D22&lt;80,D22&gt;0),(85-D22)/2,0)+IF(AND(E22&lt;80,E22&gt;0),(85-E22)/2,0)+IF(AND(H22&lt;80,H22&gt;0),(85-H22)/2,0)+IF(AND(K22&lt;80,K22&gt;0),IF((85-K22)/2&gt;20,20,(85-K22)/2),0)+IF(AND(L22&lt;80,L22&gt;0),IF((85-L22)/2&gt;20,20,(85-L22)/2),0)</f>
        <v>7.3818959999999976</v>
      </c>
      <c r="N22">
        <f>COUNTIF(C22:E22,"&gt;0")+COUNTIF(H22:H22,"&gt;0")+COUNTIF(K22:L22,"&gt;0")</f>
        <v>6</v>
      </c>
      <c r="O22">
        <f>IF(N22=0,0,IF((C22+D22+E22+H22+K22+L22)/N22-M22&lt;1,1,(C22+D22+E22+H22+K22+L22)/N22-M22))</f>
        <v>79.128473120563797</v>
      </c>
      <c r="P22" s="8"/>
      <c r="R22">
        <f t="shared" si="0"/>
        <v>77.985963081415946</v>
      </c>
    </row>
    <row r="23" spans="1:18" ht="12.75" customHeight="1" x14ac:dyDescent="0.2">
      <c r="A23" s="8">
        <v>10</v>
      </c>
      <c r="B23" s="9">
        <f>Main!B23</f>
        <v>40386</v>
      </c>
      <c r="C23" s="22">
        <v>55.681066658003431</v>
      </c>
      <c r="D23" s="22">
        <v>85.923820300000017</v>
      </c>
      <c r="E23" s="22">
        <v>97.885811751000119</v>
      </c>
      <c r="F23" s="10">
        <v>77.001401525346211</v>
      </c>
      <c r="G23" s="10">
        <v>100</v>
      </c>
      <c r="H23" s="22">
        <v>83.900761200000005</v>
      </c>
      <c r="I23" s="10">
        <v>84.198588812500006</v>
      </c>
      <c r="J23" s="10">
        <v>99.659360531659829</v>
      </c>
      <c r="K23" s="23">
        <f>IF(Main!F23*Main!I23=0,MIN(F23,I23),IF(Main!I23/Main!F23&lt;10,I23,IF(Main!I23/Main!F23&gt;20,F23,MIN(F23,I23))))</f>
        <v>77.001401525346211</v>
      </c>
      <c r="L23" s="23">
        <f>IF(G23*J23=0,MAX(G23,J23),2/(1/G23+1/J23))</f>
        <v>99.829389682791188</v>
      </c>
      <c r="M23" s="24">
        <f>IF(AND(C23&lt;80,C23&gt;0),(85-C23)/2,0)+IF(AND(D23&lt;80,D23&gt;0),(85-D23)/2,0)+IF(AND(E23&lt;80,E23&gt;0),(85-E23)/2,0)+IF(AND(H23&lt;80,H23&gt;0),(85-H23)/2,0)+IF(AND(K23&lt;80,K23&gt;0),IF((85-K23)/2&gt;20,20,(85-K23)/2),0)+IF(AND(L23&lt;80,L23&gt;0),IF((85-L23)/2&gt;20,20,(85-L23)/2),0)</f>
        <v>18.658765908325179</v>
      </c>
      <c r="N23">
        <f>COUNTIF(C23:E23,"&gt;0")+COUNTIF(H23:H23,"&gt;0")+COUNTIF(K23:L23,"&gt;0")</f>
        <v>6</v>
      </c>
      <c r="O23">
        <f>IF(N23=0,0,IF((C23+D23+E23+H23+K23+L23)/N23-M23&lt;1,1,(C23+D23+E23+H23+K23+L23)/N23-M23))</f>
        <v>64.711609277864994</v>
      </c>
      <c r="P23" s="8"/>
      <c r="R23">
        <f t="shared" si="0"/>
        <v>37.022300749678251</v>
      </c>
    </row>
    <row r="24" spans="1:18" ht="12.75" customHeight="1" x14ac:dyDescent="0.2">
      <c r="A24" s="8">
        <v>11</v>
      </c>
      <c r="B24" s="9">
        <f>Main!B24</f>
        <v>40414</v>
      </c>
      <c r="C24" s="22">
        <v>64.245130966101925</v>
      </c>
      <c r="D24" s="22">
        <v>87.692022700000052</v>
      </c>
      <c r="E24" s="22">
        <v>89.367008974999976</v>
      </c>
      <c r="F24" s="10">
        <v>80.533792708472902</v>
      </c>
      <c r="G24" s="10">
        <v>100</v>
      </c>
      <c r="H24" s="22">
        <v>75.331838699999992</v>
      </c>
      <c r="I24" s="10">
        <v>88.717243474100002</v>
      </c>
      <c r="J24" s="10">
        <v>97.574110639862113</v>
      </c>
      <c r="K24" s="23">
        <f>IF(Main!F24*Main!I24=0,MIN(F24,I24),IF(Main!I24/Main!F24&lt;10,I24,IF(Main!I24/Main!F24&gt;20,F24,MIN(F24,I24))))</f>
        <v>88.717243474100002</v>
      </c>
      <c r="L24" s="23">
        <f>IF(G24*J24=0,MAX(G24,J24),2/(1/G24+1/J24))</f>
        <v>98.772162328211209</v>
      </c>
      <c r="M24" s="24">
        <f>IF(AND(C24&lt;80,C24&gt;0),(85-C24)/2,0)+IF(AND(D24&lt;80,D24&gt;0),(85-D24)/2,0)+IF(AND(E24&lt;80,E24&gt;0),(85-E24)/2,0)+IF(AND(H24&lt;80,H24&gt;0),(85-H24)/2,0)+IF(AND(K24&lt;80,K24&gt;0),IF((85-K24)/2&gt;20,20,(85-K24)/2),0)+IF(AND(L24&lt;80,L24&gt;0),IF((85-L24)/2&gt;20,20,(85-L24)/2),0)</f>
        <v>15.211515166949042</v>
      </c>
      <c r="N24">
        <f>COUNTIF(C24:E24,"&gt;0")+COUNTIF(H24:H24,"&gt;0")+COUNTIF(K24:L24,"&gt;0")</f>
        <v>6</v>
      </c>
      <c r="O24">
        <f>IF(N24=0,0,IF((C24+D24+E24+H24+K24+L24)/N24-M24&lt;1,1,(C24+D24+E24+H24+K24+L24)/N24-M24))</f>
        <v>68.809386023619822</v>
      </c>
      <c r="P24" s="8"/>
      <c r="R24">
        <f t="shared" si="0"/>
        <v>49.033615799152884</v>
      </c>
    </row>
    <row r="25" spans="1:18" ht="12.75" customHeight="1" x14ac:dyDescent="0.2">
      <c r="A25" s="8">
        <v>12</v>
      </c>
      <c r="B25" s="9">
        <f>Main!B25</f>
        <v>40449</v>
      </c>
      <c r="C25" s="22">
        <v>66.410179626804506</v>
      </c>
      <c r="D25" s="22">
        <v>85.003000000000029</v>
      </c>
      <c r="E25" s="22">
        <v>96.772217724000029</v>
      </c>
      <c r="F25" s="10">
        <v>19.688073713309549</v>
      </c>
      <c r="G25" s="10">
        <v>84.931527804912676</v>
      </c>
      <c r="H25" s="22">
        <v>74.856628000000001</v>
      </c>
      <c r="I25" s="10">
        <v>3.4432702399999897</v>
      </c>
      <c r="J25" s="10">
        <v>28.519320043559219</v>
      </c>
      <c r="K25" s="23">
        <f>IF(Main!F25*Main!I25=0,MIN(F25,I25),IF(Main!I25/Main!F25&lt;10,I25,IF(Main!I25/Main!F25&gt;20,F25,MIN(F25,I25))))</f>
        <v>3.4432702399999897</v>
      </c>
      <c r="L25" s="23">
        <f>IF(G25*J25=0,MAX(G25,J25),2/(1/G25+1/J25))</f>
        <v>42.700243659560776</v>
      </c>
      <c r="M25" s="24">
        <f>IF(AND(C25&lt;80,C25&gt;0),(85-C25)/2,0)+IF(AND(D25&lt;80,D25&gt;0),(85-D25)/2,0)+IF(AND(E25&lt;80,E25&gt;0),(85-E25)/2,0)+IF(AND(H25&lt;80,H25&gt;0),(85-H25)/2,0)+IF(AND(K25&lt;80,K25&gt;0),IF((85-K25)/2&gt;20,20,(85-K25)/2),0)+IF(AND(L25&lt;80,L25&gt;0),IF((85-L25)/2&gt;20,20,(85-L25)/2),0)</f>
        <v>54.366596186597747</v>
      </c>
      <c r="N25">
        <f>COUNTIF(C25:E25,"&gt;0")+COUNTIF(H25:H25,"&gt;0")+COUNTIF(K25:L25,"&gt;0")</f>
        <v>6</v>
      </c>
      <c r="O25">
        <f>IF(N25=0,0,IF((C25+D25+E25+H25+K25+L25)/N25-M25&lt;1,1,(C25+D25+E25+H25+K25+L25)/N25-M25))</f>
        <v>7.1643270217964812</v>
      </c>
      <c r="P25" s="8"/>
      <c r="R25">
        <f t="shared" si="0"/>
        <v>12.04358344020676</v>
      </c>
    </row>
    <row r="27" spans="1:18" x14ac:dyDescent="0.2">
      <c r="C27">
        <f>AVERAGE(C14:C25)</f>
        <v>71.905748255907355</v>
      </c>
      <c r="H27" s="10"/>
    </row>
    <row r="28" spans="1:18" x14ac:dyDescent="0.2">
      <c r="H28" s="10"/>
    </row>
    <row r="29" spans="1:18" x14ac:dyDescent="0.2">
      <c r="H29" s="10"/>
    </row>
    <row r="30" spans="1:18" x14ac:dyDescent="0.2">
      <c r="H30" s="10"/>
      <c r="I30" s="10"/>
      <c r="K30">
        <f>AVERAGE(K20,K19,K16)</f>
        <v>80.507257150044936</v>
      </c>
    </row>
    <row r="31" spans="1:18" x14ac:dyDescent="0.2">
      <c r="H31" s="10"/>
      <c r="I31" s="10"/>
    </row>
    <row r="32" spans="1:18" x14ac:dyDescent="0.2">
      <c r="H32" s="10"/>
      <c r="I32" s="10"/>
    </row>
    <row r="33" spans="8:9" x14ac:dyDescent="0.2">
      <c r="H33" s="10"/>
      <c r="I33" s="10"/>
    </row>
    <row r="34" spans="8:9" x14ac:dyDescent="0.2">
      <c r="H34" s="10"/>
      <c r="I34" s="10"/>
    </row>
    <row r="35" spans="8:9" x14ac:dyDescent="0.2">
      <c r="H35" s="10"/>
      <c r="I35" s="10"/>
    </row>
    <row r="36" spans="8:9" x14ac:dyDescent="0.2">
      <c r="H36" s="10"/>
      <c r="I36" s="10"/>
    </row>
    <row r="37" spans="8:9" x14ac:dyDescent="0.2">
      <c r="H37" s="10"/>
      <c r="I37" s="10"/>
    </row>
    <row r="38" spans="8:9" x14ac:dyDescent="0.2">
      <c r="H38" s="10"/>
    </row>
  </sheetData>
  <sheetProtection selectLockedCells="1"/>
  <sortState xmlns:xlrd2="http://schemas.microsoft.com/office/spreadsheetml/2017/richdata2" ref="A14:O25">
    <sortCondition ref="A14"/>
  </sortState>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G38"/>
  <sheetViews>
    <sheetView workbookViewId="0">
      <selection activeCell="J20" sqref="J20"/>
    </sheetView>
  </sheetViews>
  <sheetFormatPr defaultRowHeight="12.75" x14ac:dyDescent="0.2"/>
  <cols>
    <col min="1" max="1" width="15" style="44" customWidth="1"/>
    <col min="2" max="2" width="18.85546875" style="44" customWidth="1"/>
    <col min="12" max="25" width="5.7109375" customWidth="1"/>
    <col min="26" max="33" width="7" customWidth="1"/>
  </cols>
  <sheetData>
    <row r="1" spans="1:10" x14ac:dyDescent="0.2">
      <c r="A1" s="128" t="s">
        <v>172</v>
      </c>
    </row>
    <row r="2" spans="1:10" x14ac:dyDescent="0.2">
      <c r="A2" s="128" t="s">
        <v>173</v>
      </c>
    </row>
    <row r="3" spans="1:10" x14ac:dyDescent="0.2">
      <c r="A3" s="45" t="s">
        <v>82</v>
      </c>
      <c r="B3" s="45" t="s">
        <v>67</v>
      </c>
      <c r="C3" s="45" t="s">
        <v>68</v>
      </c>
      <c r="D3" s="45" t="s">
        <v>0</v>
      </c>
      <c r="E3" s="45" t="s">
        <v>1</v>
      </c>
      <c r="F3" s="45" t="s">
        <v>69</v>
      </c>
      <c r="G3" s="45" t="s">
        <v>70</v>
      </c>
      <c r="H3" s="45" t="s">
        <v>71</v>
      </c>
      <c r="I3" s="45" t="s">
        <v>72</v>
      </c>
      <c r="J3" s="45" t="s">
        <v>2</v>
      </c>
    </row>
    <row r="4" spans="1:10" x14ac:dyDescent="0.2">
      <c r="A4" s="46" t="str">
        <f t="shared" ref="A4:A15" si="0">A18</f>
        <v>01A050</v>
      </c>
      <c r="B4" s="50">
        <f>B19</f>
        <v>40106</v>
      </c>
      <c r="C4">
        <f>H19</f>
        <v>25</v>
      </c>
      <c r="D4">
        <f>P19</f>
        <v>10.19</v>
      </c>
      <c r="E4">
        <f>R19</f>
        <v>7.16</v>
      </c>
      <c r="F4">
        <f>AB19</f>
        <v>4.4900000000000002E-2</v>
      </c>
      <c r="G4">
        <f>V19</f>
        <v>24</v>
      </c>
      <c r="H4">
        <f>X19</f>
        <v>9.6999999999999993</v>
      </c>
      <c r="I4">
        <f>AD19</f>
        <v>0.39400000000000002</v>
      </c>
      <c r="J4">
        <f>AF19</f>
        <v>14</v>
      </c>
    </row>
    <row r="5" spans="1:10" x14ac:dyDescent="0.2">
      <c r="A5" s="46" t="str">
        <f t="shared" si="0"/>
        <v>01A050</v>
      </c>
      <c r="B5" s="50">
        <f t="shared" ref="B5:B15" si="1">B20</f>
        <v>40134</v>
      </c>
      <c r="C5">
        <f t="shared" ref="C5:C15" si="2">H20</f>
        <v>33</v>
      </c>
      <c r="D5">
        <f t="shared" ref="D5:D15" si="3">P20</f>
        <v>12</v>
      </c>
      <c r="F5">
        <f t="shared" ref="F5:F15" si="4">AB20</f>
        <v>0.47699999999999998</v>
      </c>
      <c r="G5">
        <f t="shared" ref="G5:G15" si="5">V20</f>
        <v>529</v>
      </c>
      <c r="H5">
        <f t="shared" ref="H5:H15" si="6">X20</f>
        <v>6</v>
      </c>
      <c r="I5">
        <f t="shared" ref="I5:I15" si="7">AD20</f>
        <v>0.19500000000000001</v>
      </c>
      <c r="J5">
        <f t="shared" ref="J5:J15" si="8">AF20</f>
        <v>300</v>
      </c>
    </row>
    <row r="6" spans="1:10" x14ac:dyDescent="0.2">
      <c r="A6" s="46" t="str">
        <f t="shared" si="0"/>
        <v>01A050</v>
      </c>
      <c r="B6" s="50">
        <f t="shared" si="1"/>
        <v>40162</v>
      </c>
      <c r="C6">
        <f t="shared" si="2"/>
        <v>8</v>
      </c>
      <c r="D6">
        <f t="shared" si="3"/>
        <v>13.1</v>
      </c>
      <c r="E6">
        <f t="shared" ref="E6:E15" si="9">R21</f>
        <v>7.44</v>
      </c>
      <c r="F6">
        <f t="shared" si="4"/>
        <v>2.2800000000000001E-2</v>
      </c>
      <c r="G6">
        <f t="shared" si="5"/>
        <v>10</v>
      </c>
      <c r="H6">
        <f t="shared" si="6"/>
        <v>3.1</v>
      </c>
      <c r="I6">
        <f t="shared" si="7"/>
        <v>0.27100000000000002</v>
      </c>
      <c r="J6">
        <f t="shared" si="8"/>
        <v>7.4</v>
      </c>
    </row>
    <row r="7" spans="1:10" x14ac:dyDescent="0.2">
      <c r="A7" s="46" t="str">
        <f t="shared" si="0"/>
        <v>01A050</v>
      </c>
      <c r="B7" s="50">
        <f t="shared" si="1"/>
        <v>40204</v>
      </c>
      <c r="C7">
        <f t="shared" si="2"/>
        <v>1</v>
      </c>
      <c r="D7">
        <f t="shared" si="3"/>
        <v>12.6</v>
      </c>
      <c r="E7">
        <f t="shared" si="9"/>
        <v>7.37</v>
      </c>
      <c r="F7">
        <f t="shared" si="4"/>
        <v>1.43E-2</v>
      </c>
      <c r="G7">
        <f t="shared" si="5"/>
        <v>6</v>
      </c>
      <c r="H7">
        <f t="shared" si="6"/>
        <v>4.7</v>
      </c>
      <c r="I7">
        <f t="shared" si="7"/>
        <v>0.22500000000000001</v>
      </c>
      <c r="J7">
        <f t="shared" si="8"/>
        <v>6.1</v>
      </c>
    </row>
    <row r="8" spans="1:10" x14ac:dyDescent="0.2">
      <c r="A8" s="46" t="str">
        <f t="shared" si="0"/>
        <v>01A050</v>
      </c>
      <c r="B8" s="50">
        <f t="shared" si="1"/>
        <v>40232</v>
      </c>
      <c r="C8">
        <f t="shared" si="2"/>
        <v>1</v>
      </c>
      <c r="D8">
        <f t="shared" si="3"/>
        <v>13.3</v>
      </c>
      <c r="E8">
        <f t="shared" si="9"/>
        <v>7.57</v>
      </c>
      <c r="F8">
        <f t="shared" si="4"/>
        <v>1.1599999999999999E-2</v>
      </c>
      <c r="G8">
        <f t="shared" si="5"/>
        <v>4</v>
      </c>
      <c r="H8">
        <f t="shared" si="6"/>
        <v>5.0999999999999996</v>
      </c>
      <c r="I8">
        <f t="shared" si="7"/>
        <v>0.19400000000000001</v>
      </c>
      <c r="J8">
        <f t="shared" si="8"/>
        <v>2.7</v>
      </c>
    </row>
    <row r="9" spans="1:10" x14ac:dyDescent="0.2">
      <c r="A9" s="46" t="str">
        <f t="shared" si="0"/>
        <v>01A050</v>
      </c>
      <c r="B9" s="50">
        <f t="shared" si="1"/>
        <v>40253</v>
      </c>
      <c r="C9">
        <f t="shared" si="2"/>
        <v>2</v>
      </c>
      <c r="D9">
        <f t="shared" si="3"/>
        <v>12.5</v>
      </c>
      <c r="E9">
        <f t="shared" si="9"/>
        <v>7.48</v>
      </c>
      <c r="F9">
        <f t="shared" si="4"/>
        <v>1.1299999999999999E-2</v>
      </c>
      <c r="G9">
        <f t="shared" si="5"/>
        <v>6</v>
      </c>
      <c r="H9">
        <f t="shared" si="6"/>
        <v>7.4</v>
      </c>
      <c r="I9">
        <f t="shared" si="7"/>
        <v>0.16</v>
      </c>
      <c r="J9">
        <f t="shared" si="8"/>
        <v>5.0999999999999996</v>
      </c>
    </row>
    <row r="10" spans="1:10" x14ac:dyDescent="0.2">
      <c r="A10" s="46" t="str">
        <f t="shared" si="0"/>
        <v>01A050</v>
      </c>
      <c r="B10" s="50">
        <f t="shared" si="1"/>
        <v>40288</v>
      </c>
      <c r="C10">
        <f t="shared" si="2"/>
        <v>4</v>
      </c>
      <c r="D10">
        <f t="shared" si="3"/>
        <v>12.4</v>
      </c>
      <c r="E10">
        <f t="shared" si="9"/>
        <v>7.18</v>
      </c>
      <c r="F10">
        <f t="shared" si="4"/>
        <v>2.0400000000000001E-2</v>
      </c>
      <c r="G10">
        <f t="shared" si="5"/>
        <v>17</v>
      </c>
      <c r="H10">
        <f t="shared" si="6"/>
        <v>7.5</v>
      </c>
      <c r="I10">
        <f t="shared" si="7"/>
        <v>0.121</v>
      </c>
      <c r="J10">
        <f t="shared" si="8"/>
        <v>12</v>
      </c>
    </row>
    <row r="11" spans="1:10" x14ac:dyDescent="0.2">
      <c r="A11" s="46" t="str">
        <f t="shared" si="0"/>
        <v>01A050</v>
      </c>
      <c r="B11" s="50">
        <f t="shared" si="1"/>
        <v>40316</v>
      </c>
      <c r="C11">
        <f t="shared" si="2"/>
        <v>7</v>
      </c>
      <c r="D11">
        <f t="shared" si="3"/>
        <v>11.4</v>
      </c>
      <c r="E11">
        <f t="shared" si="9"/>
        <v>7.51</v>
      </c>
      <c r="F11">
        <f t="shared" si="4"/>
        <v>1.0800000000000001E-2</v>
      </c>
      <c r="G11">
        <f t="shared" si="5"/>
        <v>6</v>
      </c>
      <c r="H11">
        <f t="shared" si="6"/>
        <v>10.3</v>
      </c>
      <c r="I11">
        <f t="shared" si="7"/>
        <v>9.7000000000000003E-2</v>
      </c>
      <c r="J11">
        <f t="shared" si="8"/>
        <v>3.8</v>
      </c>
    </row>
    <row r="12" spans="1:10" x14ac:dyDescent="0.2">
      <c r="A12" s="46" t="str">
        <f t="shared" si="0"/>
        <v>01A050</v>
      </c>
      <c r="B12" s="50">
        <f t="shared" si="1"/>
        <v>40351</v>
      </c>
      <c r="C12">
        <f t="shared" si="2"/>
        <v>2</v>
      </c>
      <c r="D12">
        <f t="shared" si="3"/>
        <v>10.9</v>
      </c>
      <c r="E12">
        <f t="shared" si="9"/>
        <v>7.6</v>
      </c>
      <c r="F12">
        <f t="shared" si="4"/>
        <v>8.0999999999999996E-3</v>
      </c>
      <c r="G12">
        <f t="shared" si="5"/>
        <v>3</v>
      </c>
      <c r="H12">
        <f t="shared" si="6"/>
        <v>14</v>
      </c>
      <c r="I12">
        <f t="shared" si="7"/>
        <v>8.8999999999999996E-2</v>
      </c>
      <c r="J12">
        <f t="shared" si="8"/>
        <v>1.9</v>
      </c>
    </row>
    <row r="13" spans="1:10" x14ac:dyDescent="0.2">
      <c r="A13" s="46" t="str">
        <f t="shared" si="0"/>
        <v>01A050</v>
      </c>
      <c r="B13" s="50">
        <f t="shared" si="1"/>
        <v>40386</v>
      </c>
      <c r="C13">
        <f t="shared" si="2"/>
        <v>4</v>
      </c>
      <c r="D13">
        <f t="shared" si="3"/>
        <v>10.3</v>
      </c>
      <c r="E13">
        <f t="shared" si="9"/>
        <v>8.4600000000000009</v>
      </c>
      <c r="F13">
        <f t="shared" si="4"/>
        <v>9.7999999999999997E-3</v>
      </c>
      <c r="G13">
        <f t="shared" si="5"/>
        <v>7</v>
      </c>
      <c r="H13">
        <f t="shared" si="6"/>
        <v>20.100000000000001</v>
      </c>
      <c r="I13">
        <f t="shared" si="7"/>
        <v>6.2E-2</v>
      </c>
      <c r="J13">
        <f t="shared" si="8"/>
        <v>2</v>
      </c>
    </row>
    <row r="14" spans="1:10" x14ac:dyDescent="0.2">
      <c r="A14" s="46" t="str">
        <f t="shared" si="0"/>
        <v>01A050</v>
      </c>
      <c r="B14" s="50">
        <f t="shared" si="1"/>
        <v>40414</v>
      </c>
      <c r="C14">
        <f t="shared" si="2"/>
        <v>4</v>
      </c>
      <c r="D14">
        <f t="shared" si="3"/>
        <v>10.9</v>
      </c>
      <c r="E14">
        <f t="shared" si="9"/>
        <v>8.42</v>
      </c>
      <c r="F14">
        <f t="shared" si="4"/>
        <v>1.2200000000000001E-2</v>
      </c>
      <c r="G14">
        <f t="shared" si="5"/>
        <v>2</v>
      </c>
      <c r="H14">
        <f t="shared" si="6"/>
        <v>19.3</v>
      </c>
      <c r="I14">
        <f t="shared" si="7"/>
        <v>9.6000000000000002E-2</v>
      </c>
      <c r="J14">
        <f t="shared" si="8"/>
        <v>0.7</v>
      </c>
    </row>
    <row r="15" spans="1:10" x14ac:dyDescent="0.2">
      <c r="A15" s="46" t="str">
        <f t="shared" si="0"/>
        <v>01A050</v>
      </c>
      <c r="B15" s="50">
        <f t="shared" si="1"/>
        <v>40449</v>
      </c>
      <c r="C15">
        <f t="shared" si="2"/>
        <v>44</v>
      </c>
      <c r="D15">
        <f t="shared" si="3"/>
        <v>10.6</v>
      </c>
      <c r="E15">
        <f t="shared" si="9"/>
        <v>7.21</v>
      </c>
      <c r="F15">
        <f t="shared" si="4"/>
        <v>3.9399999999999998E-2</v>
      </c>
      <c r="G15">
        <f t="shared" si="5"/>
        <v>35</v>
      </c>
      <c r="H15">
        <f t="shared" si="6"/>
        <v>13.2</v>
      </c>
      <c r="I15">
        <f t="shared" si="7"/>
        <v>0.20100000000000001</v>
      </c>
      <c r="J15">
        <f t="shared" si="8"/>
        <v>22</v>
      </c>
    </row>
    <row r="16" spans="1:10" x14ac:dyDescent="0.2">
      <c r="A16" s="43"/>
      <c r="B16" s="43"/>
    </row>
    <row r="17" spans="1:33" ht="15" x14ac:dyDescent="0.25">
      <c r="A17" s="63" t="s">
        <v>82</v>
      </c>
      <c r="B17" s="147" t="s">
        <v>67</v>
      </c>
      <c r="C17" s="149" t="s">
        <v>138</v>
      </c>
      <c r="D17" s="141" t="s">
        <v>139</v>
      </c>
      <c r="E17" s="145"/>
      <c r="F17" s="141" t="s">
        <v>175</v>
      </c>
      <c r="G17" s="145"/>
      <c r="H17" s="141" t="s">
        <v>27</v>
      </c>
      <c r="I17" s="145"/>
      <c r="J17" s="141" t="s">
        <v>142</v>
      </c>
      <c r="K17" s="145"/>
      <c r="L17" s="141" t="s">
        <v>144</v>
      </c>
      <c r="M17" s="145"/>
      <c r="N17" s="141" t="s">
        <v>145</v>
      </c>
      <c r="O17" s="145"/>
      <c r="P17" s="141" t="s">
        <v>146</v>
      </c>
      <c r="Q17" s="145"/>
      <c r="R17" s="141" t="s">
        <v>147</v>
      </c>
      <c r="S17" s="145"/>
      <c r="T17" s="141" t="s">
        <v>149</v>
      </c>
      <c r="U17" s="145"/>
      <c r="V17" s="141" t="s">
        <v>151</v>
      </c>
      <c r="W17" s="145"/>
      <c r="X17" s="141" t="s">
        <v>152</v>
      </c>
      <c r="Y17" s="145"/>
      <c r="Z17" s="141" t="s">
        <v>176</v>
      </c>
      <c r="AA17" s="145"/>
      <c r="AB17" s="141" t="s">
        <v>154</v>
      </c>
      <c r="AC17" s="145"/>
      <c r="AD17" s="141" t="s">
        <v>157</v>
      </c>
      <c r="AE17" s="145"/>
      <c r="AF17" s="141" t="s">
        <v>155</v>
      </c>
      <c r="AG17" s="142"/>
    </row>
    <row r="18" spans="1:33" ht="12.75" customHeight="1" x14ac:dyDescent="0.25">
      <c r="A18" s="64" t="s">
        <v>97</v>
      </c>
      <c r="B18" s="148"/>
      <c r="C18" s="150"/>
      <c r="D18" s="143" t="s">
        <v>140</v>
      </c>
      <c r="E18" s="146"/>
      <c r="F18" s="143" t="s">
        <v>143</v>
      </c>
      <c r="G18" s="146"/>
      <c r="H18" s="143" t="s">
        <v>141</v>
      </c>
      <c r="I18" s="146"/>
      <c r="J18" s="143" t="s">
        <v>143</v>
      </c>
      <c r="K18" s="146"/>
      <c r="L18" s="143" t="s">
        <v>143</v>
      </c>
      <c r="M18" s="146"/>
      <c r="N18" s="143" t="s">
        <v>143</v>
      </c>
      <c r="O18" s="146"/>
      <c r="P18" s="143" t="s">
        <v>143</v>
      </c>
      <c r="Q18" s="146"/>
      <c r="R18" s="143" t="s">
        <v>148</v>
      </c>
      <c r="S18" s="146"/>
      <c r="T18" s="143" t="s">
        <v>150</v>
      </c>
      <c r="U18" s="146"/>
      <c r="V18" s="143" t="s">
        <v>143</v>
      </c>
      <c r="W18" s="146"/>
      <c r="X18" s="143" t="s">
        <v>153</v>
      </c>
      <c r="Y18" s="146"/>
      <c r="Z18" s="143" t="s">
        <v>143</v>
      </c>
      <c r="AA18" s="146"/>
      <c r="AB18" s="143" t="s">
        <v>143</v>
      </c>
      <c r="AC18" s="146"/>
      <c r="AD18" s="143" t="s">
        <v>143</v>
      </c>
      <c r="AE18" s="146"/>
      <c r="AF18" s="143" t="s">
        <v>156</v>
      </c>
      <c r="AG18" s="144"/>
    </row>
    <row r="19" spans="1:33" ht="15" x14ac:dyDescent="0.25">
      <c r="A19" s="64" t="s">
        <v>97</v>
      </c>
      <c r="B19" s="56">
        <v>40106</v>
      </c>
      <c r="C19" s="53">
        <v>0.53125</v>
      </c>
      <c r="D19" s="54">
        <v>56</v>
      </c>
      <c r="E19" s="54"/>
      <c r="F19" s="112"/>
      <c r="G19" s="54"/>
      <c r="H19" s="55">
        <v>25</v>
      </c>
      <c r="I19" s="54"/>
      <c r="J19" s="55">
        <v>4.4999999999999998E-2</v>
      </c>
      <c r="K19" s="54"/>
      <c r="L19" s="54">
        <v>0.315</v>
      </c>
      <c r="M19" s="54"/>
      <c r="N19" s="55">
        <v>1.2699999999999999E-2</v>
      </c>
      <c r="O19" s="54"/>
      <c r="P19" s="55">
        <v>10.19</v>
      </c>
      <c r="Q19" s="54"/>
      <c r="R19" s="54">
        <v>7.16</v>
      </c>
      <c r="S19" s="54"/>
      <c r="T19" s="54">
        <v>763.27</v>
      </c>
      <c r="U19" s="54"/>
      <c r="V19" s="54">
        <v>24</v>
      </c>
      <c r="W19" s="54"/>
      <c r="X19" s="54">
        <v>9.6999999999999993</v>
      </c>
      <c r="Y19" s="54"/>
      <c r="Z19" s="112"/>
      <c r="AA19" s="54"/>
      <c r="AB19" s="55">
        <v>4.4900000000000002E-2</v>
      </c>
      <c r="AC19" s="54"/>
      <c r="AD19" s="54">
        <v>0.39400000000000002</v>
      </c>
      <c r="AE19" s="54"/>
      <c r="AF19" s="54">
        <v>14</v>
      </c>
      <c r="AG19" s="106"/>
    </row>
    <row r="20" spans="1:33" ht="15" x14ac:dyDescent="0.25">
      <c r="A20" s="64" t="s">
        <v>97</v>
      </c>
      <c r="B20" s="56">
        <v>40134</v>
      </c>
      <c r="C20" s="53">
        <v>0.52777777777777779</v>
      </c>
      <c r="D20" s="55">
        <v>27</v>
      </c>
      <c r="E20" s="54"/>
      <c r="F20" s="112"/>
      <c r="G20" s="54"/>
      <c r="H20" s="55">
        <v>33</v>
      </c>
      <c r="I20" s="54" t="s">
        <v>137</v>
      </c>
      <c r="J20" s="54">
        <v>1.2999999999999999E-2</v>
      </c>
      <c r="K20" s="54"/>
      <c r="L20" s="54">
        <v>0.17100000000000001</v>
      </c>
      <c r="M20" s="54"/>
      <c r="N20" s="54">
        <v>5.3E-3</v>
      </c>
      <c r="O20" s="54"/>
      <c r="P20" s="54">
        <v>12</v>
      </c>
      <c r="Q20" s="54"/>
      <c r="R20" s="112"/>
      <c r="S20" s="54"/>
      <c r="T20" s="54">
        <v>758.19</v>
      </c>
      <c r="U20" s="54"/>
      <c r="V20" s="55">
        <v>529</v>
      </c>
      <c r="W20" s="54" t="s">
        <v>137</v>
      </c>
      <c r="X20" s="54">
        <v>6</v>
      </c>
      <c r="Y20" s="54"/>
      <c r="Z20" s="112"/>
      <c r="AA20" s="54"/>
      <c r="AB20" s="55">
        <v>0.47699999999999998</v>
      </c>
      <c r="AC20" s="54"/>
      <c r="AD20" s="54">
        <v>0.19500000000000001</v>
      </c>
      <c r="AE20" s="54"/>
      <c r="AF20" s="55">
        <v>300</v>
      </c>
      <c r="AG20" s="106"/>
    </row>
    <row r="21" spans="1:33" ht="15" x14ac:dyDescent="0.25">
      <c r="A21" s="64" t="s">
        <v>97</v>
      </c>
      <c r="B21" s="56">
        <v>40162</v>
      </c>
      <c r="C21" s="53">
        <v>0.51041666666666663</v>
      </c>
      <c r="D21" s="54">
        <v>75</v>
      </c>
      <c r="E21" s="54"/>
      <c r="F21" s="112"/>
      <c r="G21" s="54"/>
      <c r="H21" s="54">
        <v>8</v>
      </c>
      <c r="I21" s="54"/>
      <c r="J21" s="54">
        <v>0.01</v>
      </c>
      <c r="K21" s="54" t="s">
        <v>136</v>
      </c>
      <c r="L21" s="54">
        <v>0.24099999999999999</v>
      </c>
      <c r="M21" s="54"/>
      <c r="N21" s="54">
        <v>9.2999999999999992E-3</v>
      </c>
      <c r="O21" s="54"/>
      <c r="P21" s="54">
        <v>13.1</v>
      </c>
      <c r="Q21" s="54"/>
      <c r="R21" s="54">
        <v>7.44</v>
      </c>
      <c r="S21" s="54"/>
      <c r="T21" s="54">
        <v>754.38</v>
      </c>
      <c r="U21" s="54"/>
      <c r="V21" s="54">
        <v>10</v>
      </c>
      <c r="W21" s="54"/>
      <c r="X21" s="54">
        <v>3.1</v>
      </c>
      <c r="Y21" s="54"/>
      <c r="Z21" s="112"/>
      <c r="AA21" s="54"/>
      <c r="AB21" s="54">
        <v>2.2800000000000001E-2</v>
      </c>
      <c r="AC21" s="54"/>
      <c r="AD21" s="54">
        <v>0.27100000000000002</v>
      </c>
      <c r="AE21" s="54"/>
      <c r="AF21" s="54">
        <v>7.4</v>
      </c>
      <c r="AG21" s="106"/>
    </row>
    <row r="22" spans="1:33" ht="15" x14ac:dyDescent="0.25">
      <c r="A22" s="64" t="s">
        <v>97</v>
      </c>
      <c r="B22" s="56">
        <v>40204</v>
      </c>
      <c r="C22" s="53">
        <v>0.59375</v>
      </c>
      <c r="D22" s="54">
        <v>60</v>
      </c>
      <c r="E22" s="54"/>
      <c r="F22" s="112"/>
      <c r="G22" s="54"/>
      <c r="H22" s="54">
        <v>1</v>
      </c>
      <c r="I22" s="54" t="s">
        <v>136</v>
      </c>
      <c r="J22" s="54">
        <v>0.01</v>
      </c>
      <c r="K22" s="54" t="s">
        <v>136</v>
      </c>
      <c r="L22" s="54">
        <v>0.20599999999999999</v>
      </c>
      <c r="M22" s="54"/>
      <c r="N22" s="54">
        <v>6.3E-3</v>
      </c>
      <c r="O22" s="54"/>
      <c r="P22" s="54">
        <v>12.6</v>
      </c>
      <c r="Q22" s="54"/>
      <c r="R22" s="54">
        <v>7.37</v>
      </c>
      <c r="S22" s="54"/>
      <c r="T22" s="54">
        <v>759.46</v>
      </c>
      <c r="U22" s="54"/>
      <c r="V22" s="54">
        <v>6</v>
      </c>
      <c r="W22" s="54"/>
      <c r="X22" s="54">
        <v>4.7</v>
      </c>
      <c r="Y22" s="54"/>
      <c r="Z22" s="112"/>
      <c r="AA22" s="54"/>
      <c r="AB22" s="54">
        <v>1.43E-2</v>
      </c>
      <c r="AC22" s="54"/>
      <c r="AD22" s="54">
        <v>0.22500000000000001</v>
      </c>
      <c r="AE22" s="54"/>
      <c r="AF22" s="54">
        <v>6.1</v>
      </c>
      <c r="AG22" s="106"/>
    </row>
    <row r="23" spans="1:33" ht="15" x14ac:dyDescent="0.25">
      <c r="A23" s="64" t="s">
        <v>97</v>
      </c>
      <c r="B23" s="56">
        <v>40232</v>
      </c>
      <c r="C23" s="53">
        <v>0.65277777777777779</v>
      </c>
      <c r="D23" s="54">
        <v>66</v>
      </c>
      <c r="E23" s="54"/>
      <c r="F23" s="112"/>
      <c r="G23" s="54"/>
      <c r="H23" s="54">
        <v>1</v>
      </c>
      <c r="I23" s="54" t="s">
        <v>136</v>
      </c>
      <c r="J23" s="54">
        <v>0.01</v>
      </c>
      <c r="K23" s="54" t="s">
        <v>136</v>
      </c>
      <c r="L23" s="54">
        <v>0.151</v>
      </c>
      <c r="M23" s="54"/>
      <c r="N23" s="54">
        <v>6.4999999999999997E-3</v>
      </c>
      <c r="O23" s="54"/>
      <c r="P23" s="54">
        <v>13.3</v>
      </c>
      <c r="Q23" s="54"/>
      <c r="R23" s="54">
        <v>7.57</v>
      </c>
      <c r="S23" s="54"/>
      <c r="T23" s="54">
        <v>753.11</v>
      </c>
      <c r="U23" s="54"/>
      <c r="V23" s="54">
        <v>4</v>
      </c>
      <c r="W23" s="54" t="s">
        <v>137</v>
      </c>
      <c r="X23" s="54">
        <v>5.0999999999999996</v>
      </c>
      <c r="Y23" s="54"/>
      <c r="Z23" s="112"/>
      <c r="AA23" s="54"/>
      <c r="AB23" s="54">
        <v>1.1599999999999999E-2</v>
      </c>
      <c r="AC23" s="54"/>
      <c r="AD23" s="54">
        <v>0.19400000000000001</v>
      </c>
      <c r="AE23" s="54"/>
      <c r="AF23" s="54">
        <v>2.7</v>
      </c>
      <c r="AG23" s="106"/>
    </row>
    <row r="24" spans="1:33" ht="15" x14ac:dyDescent="0.25">
      <c r="A24" s="64" t="s">
        <v>97</v>
      </c>
      <c r="B24" s="56">
        <v>40253</v>
      </c>
      <c r="C24" s="53">
        <v>0.61458333333333337</v>
      </c>
      <c r="D24" s="54">
        <v>58</v>
      </c>
      <c r="E24" s="54"/>
      <c r="F24" s="112"/>
      <c r="G24" s="54"/>
      <c r="H24" s="54">
        <v>2</v>
      </c>
      <c r="I24" s="54"/>
      <c r="J24" s="54">
        <v>0.01</v>
      </c>
      <c r="K24" s="54" t="s">
        <v>136</v>
      </c>
      <c r="L24" s="55">
        <v>0.13400000000000001</v>
      </c>
      <c r="M24" s="54"/>
      <c r="N24" s="54">
        <v>5.7000000000000002E-3</v>
      </c>
      <c r="O24" s="54"/>
      <c r="P24" s="54">
        <v>12.5</v>
      </c>
      <c r="Q24" s="54"/>
      <c r="R24" s="54">
        <v>7.48</v>
      </c>
      <c r="S24" s="54"/>
      <c r="T24" s="54">
        <v>762</v>
      </c>
      <c r="U24" s="54"/>
      <c r="V24" s="54">
        <v>6</v>
      </c>
      <c r="W24" s="54"/>
      <c r="X24" s="55">
        <v>7.4</v>
      </c>
      <c r="Y24" s="54"/>
      <c r="Z24" s="112"/>
      <c r="AA24" s="54"/>
      <c r="AB24" s="54">
        <v>1.1299999999999999E-2</v>
      </c>
      <c r="AC24" s="54"/>
      <c r="AD24" s="55">
        <v>0.16</v>
      </c>
      <c r="AE24" s="54"/>
      <c r="AF24" s="54">
        <v>5.0999999999999996</v>
      </c>
      <c r="AG24" s="106"/>
    </row>
    <row r="25" spans="1:33" ht="15" x14ac:dyDescent="0.25">
      <c r="A25" s="64" t="s">
        <v>97</v>
      </c>
      <c r="B25" s="56">
        <v>40288</v>
      </c>
      <c r="C25" s="53">
        <v>0.58680555555555558</v>
      </c>
      <c r="D25" s="54">
        <v>41</v>
      </c>
      <c r="E25" s="54"/>
      <c r="F25" s="112"/>
      <c r="G25" s="54"/>
      <c r="H25" s="54">
        <v>4</v>
      </c>
      <c r="I25" s="54" t="s">
        <v>137</v>
      </c>
      <c r="J25" s="54">
        <v>0.01</v>
      </c>
      <c r="K25" s="54" t="s">
        <v>136</v>
      </c>
      <c r="L25" s="54">
        <v>9.8000000000000004E-2</v>
      </c>
      <c r="M25" s="54"/>
      <c r="N25" s="54">
        <v>3.7000000000000002E-3</v>
      </c>
      <c r="O25" s="54"/>
      <c r="P25" s="54">
        <v>12.4</v>
      </c>
      <c r="Q25" s="54"/>
      <c r="R25" s="54">
        <v>7.18</v>
      </c>
      <c r="S25" s="54"/>
      <c r="T25" s="54">
        <v>751.84</v>
      </c>
      <c r="U25" s="54"/>
      <c r="V25" s="54">
        <v>17</v>
      </c>
      <c r="W25" s="54"/>
      <c r="X25" s="54">
        <v>7.5</v>
      </c>
      <c r="Y25" s="54"/>
      <c r="Z25" s="112"/>
      <c r="AA25" s="54"/>
      <c r="AB25" s="54">
        <v>2.0400000000000001E-2</v>
      </c>
      <c r="AC25" s="54"/>
      <c r="AD25" s="54">
        <v>0.121</v>
      </c>
      <c r="AE25" s="54"/>
      <c r="AF25" s="54">
        <v>12</v>
      </c>
      <c r="AG25" s="106"/>
    </row>
    <row r="26" spans="1:33" ht="15" x14ac:dyDescent="0.25">
      <c r="A26" s="64" t="s">
        <v>97</v>
      </c>
      <c r="B26" s="56">
        <v>40316</v>
      </c>
      <c r="C26" s="53">
        <v>0.64930555555555558</v>
      </c>
      <c r="D26" s="54">
        <v>43</v>
      </c>
      <c r="E26" s="54"/>
      <c r="F26" s="112"/>
      <c r="G26" s="54"/>
      <c r="H26" s="54">
        <v>7</v>
      </c>
      <c r="I26" s="54"/>
      <c r="J26" s="54">
        <v>0.01</v>
      </c>
      <c r="K26" s="54" t="s">
        <v>136</v>
      </c>
      <c r="L26" s="54">
        <v>6.7000000000000004E-2</v>
      </c>
      <c r="M26" s="54"/>
      <c r="N26" s="55">
        <v>3.0000000000000001E-3</v>
      </c>
      <c r="O26" s="54" t="s">
        <v>136</v>
      </c>
      <c r="P26" s="54">
        <v>11.4</v>
      </c>
      <c r="Q26" s="54"/>
      <c r="R26" s="54">
        <v>7.51</v>
      </c>
      <c r="S26" s="54"/>
      <c r="T26" s="54">
        <v>754.38</v>
      </c>
      <c r="U26" s="54"/>
      <c r="V26" s="54">
        <v>6</v>
      </c>
      <c r="W26" s="54"/>
      <c r="X26" s="54">
        <v>10.3</v>
      </c>
      <c r="Y26" s="54"/>
      <c r="Z26" s="112"/>
      <c r="AA26" s="54"/>
      <c r="AB26" s="54">
        <v>1.0800000000000001E-2</v>
      </c>
      <c r="AC26" s="54"/>
      <c r="AD26" s="54">
        <v>9.7000000000000003E-2</v>
      </c>
      <c r="AE26" s="54"/>
      <c r="AF26" s="54">
        <v>3.8</v>
      </c>
      <c r="AG26" s="106"/>
    </row>
    <row r="27" spans="1:33" ht="15" x14ac:dyDescent="0.25">
      <c r="A27" s="64" t="s">
        <v>97</v>
      </c>
      <c r="B27" s="56">
        <v>40351</v>
      </c>
      <c r="C27" s="53">
        <v>0.63888888888888895</v>
      </c>
      <c r="D27" s="54">
        <v>58</v>
      </c>
      <c r="E27" s="54"/>
      <c r="F27" s="112"/>
      <c r="G27" s="54"/>
      <c r="H27" s="54">
        <v>2</v>
      </c>
      <c r="I27" s="54"/>
      <c r="J27" s="54">
        <v>0.01</v>
      </c>
      <c r="K27" s="54" t="s">
        <v>136</v>
      </c>
      <c r="L27" s="54">
        <v>6.3E-2</v>
      </c>
      <c r="M27" s="54"/>
      <c r="N27" s="54">
        <v>4.3E-3</v>
      </c>
      <c r="O27" s="54"/>
      <c r="P27" s="55">
        <v>10.9</v>
      </c>
      <c r="Q27" s="54"/>
      <c r="R27" s="54">
        <v>7.6</v>
      </c>
      <c r="S27" s="54"/>
      <c r="T27" s="54">
        <v>759.46</v>
      </c>
      <c r="U27" s="54"/>
      <c r="V27" s="54">
        <v>3</v>
      </c>
      <c r="W27" s="54"/>
      <c r="X27" s="55">
        <v>14</v>
      </c>
      <c r="Y27" s="54"/>
      <c r="Z27" s="112"/>
      <c r="AA27" s="54"/>
      <c r="AB27" s="54">
        <v>8.0999999999999996E-3</v>
      </c>
      <c r="AC27" s="54"/>
      <c r="AD27" s="54">
        <v>8.8999999999999996E-2</v>
      </c>
      <c r="AE27" s="54"/>
      <c r="AF27" s="54">
        <v>1.9</v>
      </c>
      <c r="AG27" s="106"/>
    </row>
    <row r="28" spans="1:33" ht="15" x14ac:dyDescent="0.25">
      <c r="A28" s="64" t="s">
        <v>97</v>
      </c>
      <c r="B28" s="56">
        <v>40386</v>
      </c>
      <c r="C28" s="53">
        <v>0.65277777777777779</v>
      </c>
      <c r="D28" s="54">
        <v>80</v>
      </c>
      <c r="E28" s="54"/>
      <c r="F28" s="112"/>
      <c r="G28" s="54"/>
      <c r="H28" s="54">
        <v>4</v>
      </c>
      <c r="I28" s="54"/>
      <c r="J28" s="54">
        <v>0.01</v>
      </c>
      <c r="K28" s="54" t="s">
        <v>136</v>
      </c>
      <c r="L28" s="54">
        <v>0.01</v>
      </c>
      <c r="M28" s="54" t="s">
        <v>136</v>
      </c>
      <c r="N28" s="54">
        <v>5.7000000000000002E-3</v>
      </c>
      <c r="O28" s="54"/>
      <c r="P28" s="54">
        <v>10.3</v>
      </c>
      <c r="Q28" s="54"/>
      <c r="R28" s="54">
        <v>8.4600000000000009</v>
      </c>
      <c r="S28" s="54"/>
      <c r="T28" s="54">
        <v>754.38</v>
      </c>
      <c r="U28" s="54"/>
      <c r="V28" s="54">
        <v>7</v>
      </c>
      <c r="W28" s="54"/>
      <c r="X28" s="55">
        <v>20.100000000000001</v>
      </c>
      <c r="Y28" s="54"/>
      <c r="Z28" s="112"/>
      <c r="AA28" s="54"/>
      <c r="AB28" s="54">
        <v>9.7999999999999997E-3</v>
      </c>
      <c r="AC28" s="54"/>
      <c r="AD28" s="54">
        <v>6.2E-2</v>
      </c>
      <c r="AE28" s="54"/>
      <c r="AF28" s="54">
        <v>2</v>
      </c>
      <c r="AG28" s="106"/>
    </row>
    <row r="29" spans="1:33" ht="15" x14ac:dyDescent="0.25">
      <c r="A29" s="64" t="s">
        <v>97</v>
      </c>
      <c r="B29" s="56">
        <v>40414</v>
      </c>
      <c r="C29" s="53">
        <v>0.70138888888888884</v>
      </c>
      <c r="D29" s="54">
        <v>101</v>
      </c>
      <c r="E29" s="54"/>
      <c r="F29" s="54">
        <v>1</v>
      </c>
      <c r="G29" s="54" t="s">
        <v>137</v>
      </c>
      <c r="H29" s="54">
        <v>4</v>
      </c>
      <c r="I29" s="54"/>
      <c r="J29" s="55">
        <v>3.3000000000000002E-2</v>
      </c>
      <c r="K29" s="54"/>
      <c r="L29" s="54">
        <v>3.4000000000000002E-2</v>
      </c>
      <c r="M29" s="54"/>
      <c r="N29" s="54">
        <v>7.9000000000000008E-3</v>
      </c>
      <c r="O29" s="54"/>
      <c r="P29" s="54">
        <v>10.9</v>
      </c>
      <c r="Q29" s="54"/>
      <c r="R29" s="54">
        <v>8.42</v>
      </c>
      <c r="S29" s="54"/>
      <c r="T29" s="54">
        <v>756.92</v>
      </c>
      <c r="U29" s="54"/>
      <c r="V29" s="54">
        <v>2</v>
      </c>
      <c r="W29" s="54"/>
      <c r="X29" s="55">
        <v>19.3</v>
      </c>
      <c r="Y29" s="54"/>
      <c r="Z29" s="54">
        <v>1</v>
      </c>
      <c r="AA29" s="54" t="s">
        <v>137</v>
      </c>
      <c r="AB29" s="54">
        <v>1.2200000000000001E-2</v>
      </c>
      <c r="AC29" s="54"/>
      <c r="AD29" s="54">
        <v>9.6000000000000002E-2</v>
      </c>
      <c r="AE29" s="54"/>
      <c r="AF29" s="54">
        <v>0.7</v>
      </c>
      <c r="AG29" s="106"/>
    </row>
    <row r="30" spans="1:33" ht="13.5" thickBot="1" x14ac:dyDescent="0.25">
      <c r="A30" s="60"/>
      <c r="B30" s="57">
        <v>40449</v>
      </c>
      <c r="C30" s="58">
        <v>0.56944444444444442</v>
      </c>
      <c r="D30" s="111">
        <v>35</v>
      </c>
      <c r="E30" s="59"/>
      <c r="F30" s="110"/>
      <c r="G30" s="59"/>
      <c r="H30" s="59">
        <v>44</v>
      </c>
      <c r="I30" s="59"/>
      <c r="J30" s="59">
        <v>0.01</v>
      </c>
      <c r="K30" s="59" t="s">
        <v>136</v>
      </c>
      <c r="L30" s="111">
        <v>0.14000000000000001</v>
      </c>
      <c r="M30" s="59"/>
      <c r="N30" s="111">
        <v>3.5999999999999999E-3</v>
      </c>
      <c r="O30" s="59"/>
      <c r="P30" s="59">
        <v>10.6</v>
      </c>
      <c r="Q30" s="59"/>
      <c r="R30" s="59">
        <v>7.21</v>
      </c>
      <c r="S30" s="59"/>
      <c r="T30" s="59">
        <v>759.46</v>
      </c>
      <c r="U30" s="59"/>
      <c r="V30" s="111">
        <v>35</v>
      </c>
      <c r="W30" s="59" t="s">
        <v>137</v>
      </c>
      <c r="X30" s="111">
        <v>13.2</v>
      </c>
      <c r="Y30" s="59"/>
      <c r="Z30" s="110"/>
      <c r="AA30" s="59"/>
      <c r="AB30" s="111">
        <v>3.9399999999999998E-2</v>
      </c>
      <c r="AC30" s="59"/>
      <c r="AD30" s="111">
        <v>0.20100000000000001</v>
      </c>
      <c r="AE30" s="59"/>
      <c r="AF30" s="111">
        <v>22</v>
      </c>
      <c r="AG30" s="107"/>
    </row>
    <row r="31" spans="1:33" x14ac:dyDescent="0.2">
      <c r="A31" s="60"/>
      <c r="B31" s="56"/>
      <c r="C31" s="53"/>
      <c r="D31" s="54"/>
      <c r="E31" s="54"/>
      <c r="F31" s="54"/>
      <c r="G31" s="54"/>
      <c r="H31" s="54"/>
      <c r="I31" s="54"/>
      <c r="J31" s="54"/>
      <c r="K31" s="54"/>
      <c r="L31" s="54"/>
      <c r="M31" s="54"/>
      <c r="N31" s="55"/>
      <c r="O31" s="54"/>
      <c r="P31" s="55"/>
      <c r="Q31" s="54"/>
      <c r="R31" s="54"/>
      <c r="S31" s="54"/>
      <c r="T31" s="54"/>
      <c r="U31" s="54"/>
      <c r="V31" s="54"/>
      <c r="W31" s="54"/>
    </row>
    <row r="32" spans="1:33" ht="13.5" thickBot="1" x14ac:dyDescent="0.25">
      <c r="A32" s="108"/>
      <c r="B32" s="57"/>
      <c r="C32" s="58"/>
      <c r="D32" s="59"/>
      <c r="E32" s="59"/>
      <c r="F32" s="59"/>
      <c r="G32" s="59"/>
      <c r="H32" s="59"/>
      <c r="I32" s="59"/>
      <c r="J32" s="59"/>
      <c r="K32" s="59"/>
      <c r="L32" s="59"/>
      <c r="M32" s="59"/>
      <c r="N32" s="59"/>
      <c r="O32" s="59"/>
      <c r="P32" s="59"/>
      <c r="Q32" s="59"/>
      <c r="R32" s="59"/>
      <c r="S32" s="59"/>
      <c r="T32" s="59"/>
      <c r="U32" s="59"/>
      <c r="V32" s="59"/>
      <c r="W32" s="59"/>
    </row>
    <row r="33" spans="1:2" x14ac:dyDescent="0.2">
      <c r="A33" s="43"/>
      <c r="B33" s="43"/>
    </row>
    <row r="34" spans="1:2" x14ac:dyDescent="0.2">
      <c r="A34" s="43"/>
      <c r="B34" s="43"/>
    </row>
    <row r="35" spans="1:2" x14ac:dyDescent="0.2">
      <c r="A35" s="43"/>
      <c r="B35" s="43"/>
    </row>
    <row r="36" spans="1:2" x14ac:dyDescent="0.2">
      <c r="A36" s="43"/>
      <c r="B36" s="43"/>
    </row>
    <row r="37" spans="1:2" x14ac:dyDescent="0.2">
      <c r="A37" s="43"/>
      <c r="B37" s="43"/>
    </row>
    <row r="38" spans="1:2" x14ac:dyDescent="0.2">
      <c r="A38" s="43"/>
      <c r="B38" s="43"/>
    </row>
  </sheetData>
  <mergeCells count="32">
    <mergeCell ref="B17:B18"/>
    <mergeCell ref="C17:C18"/>
    <mergeCell ref="D17:E17"/>
    <mergeCell ref="D18:E18"/>
    <mergeCell ref="F17:G17"/>
    <mergeCell ref="F18:G18"/>
    <mergeCell ref="H17:I17"/>
    <mergeCell ref="H18:I18"/>
    <mergeCell ref="J17:K17"/>
    <mergeCell ref="J18:K18"/>
    <mergeCell ref="L17:M17"/>
    <mergeCell ref="L18:M18"/>
    <mergeCell ref="N17:O17"/>
    <mergeCell ref="N18:O18"/>
    <mergeCell ref="P17:Q17"/>
    <mergeCell ref="P18:Q18"/>
    <mergeCell ref="R17:S17"/>
    <mergeCell ref="R18:S18"/>
    <mergeCell ref="T17:U17"/>
    <mergeCell ref="T18:U18"/>
    <mergeCell ref="V17:W17"/>
    <mergeCell ref="V18:W18"/>
    <mergeCell ref="X17:Y17"/>
    <mergeCell ref="X18:Y18"/>
    <mergeCell ref="AF17:AG17"/>
    <mergeCell ref="AF18:AG18"/>
    <mergeCell ref="Z17:AA17"/>
    <mergeCell ref="Z18:AA18"/>
    <mergeCell ref="AB17:AC17"/>
    <mergeCell ref="AB18:AC18"/>
    <mergeCell ref="AD17:AE17"/>
    <mergeCell ref="AD18:AE18"/>
  </mergeCells>
  <phoneticPr fontId="0"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30"/>
  <sheetViews>
    <sheetView workbookViewId="0">
      <selection activeCell="C19" sqref="C19"/>
    </sheetView>
  </sheetViews>
  <sheetFormatPr defaultRowHeight="12.75" x14ac:dyDescent="0.2"/>
  <cols>
    <col min="1" max="1" width="12.85546875" bestFit="1" customWidth="1"/>
    <col min="13" max="13" width="73.140625" bestFit="1" customWidth="1"/>
  </cols>
  <sheetData>
    <row r="1" spans="1:13" ht="12.75" customHeight="1" x14ac:dyDescent="0.2">
      <c r="A1" s="40" t="s">
        <v>6</v>
      </c>
      <c r="B1" s="40" t="s">
        <v>7</v>
      </c>
      <c r="C1" s="40" t="s">
        <v>8</v>
      </c>
      <c r="D1" s="40" t="s">
        <v>9</v>
      </c>
      <c r="E1" s="40" t="s">
        <v>10</v>
      </c>
      <c r="F1" s="40" t="s">
        <v>11</v>
      </c>
      <c r="G1" s="40" t="s">
        <v>12</v>
      </c>
      <c r="H1" s="40" t="s">
        <v>13</v>
      </c>
      <c r="I1" s="40" t="s">
        <v>14</v>
      </c>
      <c r="J1" s="40" t="s">
        <v>15</v>
      </c>
      <c r="K1" s="40" t="s">
        <v>16</v>
      </c>
      <c r="L1" s="40" t="s">
        <v>17</v>
      </c>
      <c r="M1" s="40" t="s">
        <v>18</v>
      </c>
    </row>
    <row r="2" spans="1:13" ht="12.75" customHeight="1" x14ac:dyDescent="0.2">
      <c r="A2" s="41">
        <v>51</v>
      </c>
      <c r="B2" s="42" t="s">
        <v>27</v>
      </c>
      <c r="C2" s="42" t="s">
        <v>3</v>
      </c>
      <c r="D2" s="41" t="s">
        <v>75</v>
      </c>
      <c r="E2" s="41">
        <v>100</v>
      </c>
      <c r="F2" s="41">
        <v>1</v>
      </c>
      <c r="G2" s="41">
        <v>12</v>
      </c>
      <c r="H2" s="41">
        <v>0</v>
      </c>
      <c r="I2" s="41">
        <v>999999</v>
      </c>
      <c r="J2" s="41">
        <v>103.59</v>
      </c>
      <c r="K2" s="41">
        <v>0.81005499999999997</v>
      </c>
      <c r="L2" s="41">
        <v>-1.28485</v>
      </c>
      <c r="M2" s="42" t="s">
        <v>28</v>
      </c>
    </row>
    <row r="3" spans="1:13" ht="12.75" customHeight="1" x14ac:dyDescent="0.2">
      <c r="A3" s="41">
        <v>53</v>
      </c>
      <c r="B3" s="42" t="s">
        <v>27</v>
      </c>
      <c r="C3" s="42" t="s">
        <v>22</v>
      </c>
      <c r="D3" s="41" t="s">
        <v>75</v>
      </c>
      <c r="E3" s="41">
        <v>50</v>
      </c>
      <c r="F3" s="41">
        <v>1</v>
      </c>
      <c r="G3" s="41">
        <v>12</v>
      </c>
      <c r="H3" s="41">
        <v>0</v>
      </c>
      <c r="I3" s="41">
        <v>999999</v>
      </c>
      <c r="J3" s="41">
        <v>103.25</v>
      </c>
      <c r="K3" s="41">
        <v>-0.58320000000000005</v>
      </c>
      <c r="L3" s="41">
        <v>-1.3564099999999999</v>
      </c>
      <c r="M3" s="42" t="s">
        <v>28</v>
      </c>
    </row>
    <row r="4" spans="1:13" ht="12.75" customHeight="1" x14ac:dyDescent="0.2">
      <c r="A4" s="41">
        <v>52</v>
      </c>
      <c r="B4" s="42" t="s">
        <v>27</v>
      </c>
      <c r="C4" s="42" t="s">
        <v>20</v>
      </c>
      <c r="D4" s="41" t="s">
        <v>75</v>
      </c>
      <c r="E4" s="41">
        <v>200</v>
      </c>
      <c r="F4" s="41">
        <v>1</v>
      </c>
      <c r="G4" s="41">
        <v>12</v>
      </c>
      <c r="H4" s="41">
        <v>0</v>
      </c>
      <c r="I4" s="41">
        <v>999999</v>
      </c>
      <c r="J4" s="41">
        <v>102.944</v>
      </c>
      <c r="K4" s="41">
        <v>2.5972300000000001</v>
      </c>
      <c r="L4" s="41">
        <v>-1.3061199999999999</v>
      </c>
      <c r="M4" s="42" t="s">
        <v>28</v>
      </c>
    </row>
    <row r="5" spans="1:13" ht="12.75" customHeight="1" x14ac:dyDescent="0.2">
      <c r="A5" s="41">
        <v>21</v>
      </c>
      <c r="B5" s="42" t="s">
        <v>0</v>
      </c>
      <c r="C5" s="42" t="s">
        <v>3</v>
      </c>
      <c r="D5" s="41" t="s">
        <v>75</v>
      </c>
      <c r="E5" s="41">
        <v>8</v>
      </c>
      <c r="F5" s="41">
        <v>1</v>
      </c>
      <c r="G5" s="41">
        <v>12</v>
      </c>
      <c r="H5" s="41">
        <v>0</v>
      </c>
      <c r="I5" s="41">
        <v>12</v>
      </c>
      <c r="J5" s="41">
        <v>-67.325500000000005</v>
      </c>
      <c r="K5" s="41">
        <v>27.5473</v>
      </c>
      <c r="L5" s="41">
        <v>-1.14663</v>
      </c>
      <c r="M5" s="42" t="s">
        <v>78</v>
      </c>
    </row>
    <row r="6" spans="1:13" ht="12.75" customHeight="1" x14ac:dyDescent="0.2">
      <c r="A6" s="41">
        <v>21</v>
      </c>
      <c r="B6" s="42" t="s">
        <v>0</v>
      </c>
      <c r="C6" s="42" t="s">
        <v>3</v>
      </c>
      <c r="D6" s="41" t="s">
        <v>75</v>
      </c>
      <c r="E6" s="41">
        <v>8</v>
      </c>
      <c r="F6" s="41">
        <v>1</v>
      </c>
      <c r="G6" s="41">
        <v>12</v>
      </c>
      <c r="H6" s="41">
        <v>12.000999999999999</v>
      </c>
      <c r="I6" s="41">
        <v>99</v>
      </c>
      <c r="J6" s="41">
        <v>100</v>
      </c>
      <c r="K6" s="41">
        <v>0</v>
      </c>
      <c r="L6" s="41">
        <v>0</v>
      </c>
      <c r="M6" s="42" t="s">
        <v>78</v>
      </c>
    </row>
    <row r="7" spans="1:13" ht="12.75" customHeight="1" x14ac:dyDescent="0.2">
      <c r="A7" s="41">
        <v>23</v>
      </c>
      <c r="B7" s="42" t="s">
        <v>0</v>
      </c>
      <c r="C7" s="42" t="s">
        <v>22</v>
      </c>
      <c r="D7" s="41" t="s">
        <v>75</v>
      </c>
      <c r="E7" s="41">
        <v>9.5</v>
      </c>
      <c r="F7" s="41">
        <v>1</v>
      </c>
      <c r="G7" s="41">
        <v>12</v>
      </c>
      <c r="H7" s="41">
        <v>0</v>
      </c>
      <c r="I7" s="41">
        <v>12.5</v>
      </c>
      <c r="J7" s="41">
        <v>-131.19999999999999</v>
      </c>
      <c r="K7" s="41">
        <v>33.81</v>
      </c>
      <c r="L7" s="41">
        <v>-1.22397</v>
      </c>
      <c r="M7" s="42" t="s">
        <v>78</v>
      </c>
    </row>
    <row r="8" spans="1:13" ht="12.75" customHeight="1" x14ac:dyDescent="0.2">
      <c r="A8" s="41">
        <v>23</v>
      </c>
      <c r="B8" s="42" t="s">
        <v>0</v>
      </c>
      <c r="C8" s="42" t="s">
        <v>22</v>
      </c>
      <c r="D8" s="41" t="s">
        <v>75</v>
      </c>
      <c r="E8" s="41">
        <v>9.5</v>
      </c>
      <c r="F8" s="41">
        <v>1</v>
      </c>
      <c r="G8" s="41">
        <v>12</v>
      </c>
      <c r="H8" s="41">
        <v>12.500999999999999</v>
      </c>
      <c r="I8" s="41">
        <v>99</v>
      </c>
      <c r="J8" s="41">
        <v>100</v>
      </c>
      <c r="K8" s="41">
        <v>0</v>
      </c>
      <c r="L8" s="41">
        <v>0</v>
      </c>
      <c r="M8" s="42" t="s">
        <v>78</v>
      </c>
    </row>
    <row r="9" spans="1:13" ht="12.75" customHeight="1" x14ac:dyDescent="0.2">
      <c r="A9" s="41">
        <v>22</v>
      </c>
      <c r="B9" s="42" t="s">
        <v>0</v>
      </c>
      <c r="C9" s="42" t="s">
        <v>20</v>
      </c>
      <c r="D9" s="41" t="s">
        <v>75</v>
      </c>
      <c r="E9" s="41">
        <v>6.5</v>
      </c>
      <c r="F9" s="41">
        <v>1</v>
      </c>
      <c r="G9" s="41">
        <v>12</v>
      </c>
      <c r="H9" s="41">
        <v>0</v>
      </c>
      <c r="I9" s="41">
        <v>8.5</v>
      </c>
      <c r="J9" s="41">
        <v>-109.509</v>
      </c>
      <c r="K9" s="41">
        <v>43.652900000000002</v>
      </c>
      <c r="L9" s="41">
        <v>-2.23081</v>
      </c>
      <c r="M9" s="42" t="s">
        <v>78</v>
      </c>
    </row>
    <row r="10" spans="1:13" ht="12.75" customHeight="1" x14ac:dyDescent="0.2">
      <c r="A10" s="41">
        <v>22</v>
      </c>
      <c r="B10" s="42" t="s">
        <v>0</v>
      </c>
      <c r="C10" s="42" t="s">
        <v>20</v>
      </c>
      <c r="D10" s="41" t="s">
        <v>75</v>
      </c>
      <c r="E10" s="41">
        <v>6.5</v>
      </c>
      <c r="F10" s="41">
        <v>1</v>
      </c>
      <c r="G10" s="41">
        <v>12</v>
      </c>
      <c r="H10" s="41">
        <v>8.5009999999999994</v>
      </c>
      <c r="I10" s="41">
        <v>99</v>
      </c>
      <c r="J10" s="41">
        <v>100</v>
      </c>
      <c r="K10" s="41">
        <v>0</v>
      </c>
      <c r="L10" s="41">
        <v>0</v>
      </c>
      <c r="M10" s="42" t="s">
        <v>78</v>
      </c>
    </row>
    <row r="11" spans="1:13" ht="12.75" customHeight="1" x14ac:dyDescent="0.2">
      <c r="A11" s="41">
        <v>24</v>
      </c>
      <c r="B11" s="42" t="s">
        <v>0</v>
      </c>
      <c r="C11" s="42" t="s">
        <v>21</v>
      </c>
      <c r="D11" s="41" t="s">
        <v>75</v>
      </c>
      <c r="E11" s="41">
        <v>5</v>
      </c>
      <c r="F11" s="41">
        <v>6</v>
      </c>
      <c r="G11" s="41">
        <v>9</v>
      </c>
      <c r="H11" s="41">
        <v>0</v>
      </c>
      <c r="I11" s="41">
        <v>7.5</v>
      </c>
      <c r="J11" s="41">
        <v>-64.444400000000002</v>
      </c>
      <c r="K11" s="41">
        <v>42.777799999999999</v>
      </c>
      <c r="L11" s="41">
        <v>2.7778</v>
      </c>
      <c r="M11" s="42" t="s">
        <v>23</v>
      </c>
    </row>
    <row r="12" spans="1:13" ht="12.75" customHeight="1" x14ac:dyDescent="0.2">
      <c r="A12" s="41">
        <v>24</v>
      </c>
      <c r="B12" s="42" t="s">
        <v>0</v>
      </c>
      <c r="C12" s="42" t="s">
        <v>21</v>
      </c>
      <c r="D12" s="41" t="s">
        <v>75</v>
      </c>
      <c r="E12" s="41">
        <v>5</v>
      </c>
      <c r="F12" s="41">
        <v>6</v>
      </c>
      <c r="G12" s="41">
        <v>9</v>
      </c>
      <c r="H12" s="41">
        <v>7.5010000000000003</v>
      </c>
      <c r="I12" s="41">
        <v>99</v>
      </c>
      <c r="J12" s="41">
        <v>100</v>
      </c>
      <c r="K12" s="41">
        <v>0</v>
      </c>
      <c r="L12" s="41">
        <v>0</v>
      </c>
      <c r="M12" s="42" t="s">
        <v>78</v>
      </c>
    </row>
    <row r="13" spans="1:13" ht="12.75" customHeight="1" x14ac:dyDescent="0.2">
      <c r="A13" s="41">
        <v>24</v>
      </c>
      <c r="B13" s="42" t="s">
        <v>0</v>
      </c>
      <c r="C13" s="42" t="s">
        <v>21</v>
      </c>
      <c r="D13" s="41" t="s">
        <v>75</v>
      </c>
      <c r="E13" s="41">
        <v>8</v>
      </c>
      <c r="F13" s="41">
        <v>1</v>
      </c>
      <c r="G13" s="41">
        <v>5</v>
      </c>
      <c r="H13" s="41">
        <v>0</v>
      </c>
      <c r="I13" s="41">
        <v>12</v>
      </c>
      <c r="J13" s="41">
        <v>-62.325499999999998</v>
      </c>
      <c r="K13" s="41">
        <v>27.5473</v>
      </c>
      <c r="L13" s="41">
        <v>-1.14663</v>
      </c>
      <c r="M13" s="42" t="s">
        <v>78</v>
      </c>
    </row>
    <row r="14" spans="1:13" ht="12.75" customHeight="1" x14ac:dyDescent="0.2">
      <c r="A14" s="41">
        <v>24</v>
      </c>
      <c r="B14" s="42" t="s">
        <v>0</v>
      </c>
      <c r="C14" s="42" t="s">
        <v>21</v>
      </c>
      <c r="D14" s="41" t="s">
        <v>75</v>
      </c>
      <c r="E14" s="41">
        <v>8</v>
      </c>
      <c r="F14" s="41">
        <v>1</v>
      </c>
      <c r="G14" s="41">
        <v>5</v>
      </c>
      <c r="H14" s="41">
        <v>12.000999999999999</v>
      </c>
      <c r="I14" s="41">
        <v>99</v>
      </c>
      <c r="J14" s="41">
        <v>100</v>
      </c>
      <c r="K14" s="41">
        <v>0</v>
      </c>
      <c r="L14" s="41">
        <v>0</v>
      </c>
      <c r="M14" s="42" t="s">
        <v>78</v>
      </c>
    </row>
    <row r="15" spans="1:13" ht="12.75" customHeight="1" x14ac:dyDescent="0.2">
      <c r="A15" s="41">
        <v>24</v>
      </c>
      <c r="B15" s="42" t="s">
        <v>0</v>
      </c>
      <c r="C15" s="42" t="s">
        <v>21</v>
      </c>
      <c r="D15" s="41" t="s">
        <v>75</v>
      </c>
      <c r="E15" s="41">
        <v>8</v>
      </c>
      <c r="F15" s="41">
        <v>10</v>
      </c>
      <c r="G15" s="41">
        <v>12</v>
      </c>
      <c r="H15" s="41">
        <v>0</v>
      </c>
      <c r="I15" s="41">
        <v>12</v>
      </c>
      <c r="J15" s="41">
        <v>-62.325499999999998</v>
      </c>
      <c r="K15" s="41">
        <v>27.5473</v>
      </c>
      <c r="L15" s="41">
        <v>-1.14663</v>
      </c>
      <c r="M15" s="42" t="s">
        <v>78</v>
      </c>
    </row>
    <row r="16" spans="1:13" ht="12.75" customHeight="1" x14ac:dyDescent="0.2">
      <c r="A16" s="41">
        <v>24</v>
      </c>
      <c r="B16" s="42" t="s">
        <v>0</v>
      </c>
      <c r="C16" s="42" t="s">
        <v>21</v>
      </c>
      <c r="D16" s="41" t="s">
        <v>75</v>
      </c>
      <c r="E16" s="41">
        <v>8</v>
      </c>
      <c r="F16" s="41">
        <v>10</v>
      </c>
      <c r="G16" s="41">
        <v>12</v>
      </c>
      <c r="H16" s="41">
        <v>12.000999999999999</v>
      </c>
      <c r="I16" s="41">
        <v>99</v>
      </c>
      <c r="J16" s="41">
        <v>100</v>
      </c>
      <c r="K16" s="41">
        <v>0</v>
      </c>
      <c r="L16" s="41">
        <v>0</v>
      </c>
      <c r="M16" s="42" t="s">
        <v>78</v>
      </c>
    </row>
    <row r="17" spans="1:13" ht="12.75" customHeight="1" x14ac:dyDescent="0.2">
      <c r="A17" s="41">
        <v>25</v>
      </c>
      <c r="B17" s="42" t="s">
        <v>0</v>
      </c>
      <c r="C17" s="42" t="s">
        <v>24</v>
      </c>
      <c r="D17" s="41" t="s">
        <v>75</v>
      </c>
      <c r="E17" s="41">
        <v>5</v>
      </c>
      <c r="F17" s="41">
        <v>1</v>
      </c>
      <c r="G17" s="41">
        <v>12</v>
      </c>
      <c r="H17" s="41">
        <v>0</v>
      </c>
      <c r="I17" s="41">
        <v>7.5</v>
      </c>
      <c r="J17" s="41">
        <v>-64.444400000000002</v>
      </c>
      <c r="K17" s="41">
        <v>42.777799999999999</v>
      </c>
      <c r="L17" s="41">
        <v>2.7778</v>
      </c>
      <c r="M17" s="42" t="s">
        <v>25</v>
      </c>
    </row>
    <row r="18" spans="1:13" ht="12.75" customHeight="1" x14ac:dyDescent="0.2">
      <c r="A18" s="41">
        <v>25</v>
      </c>
      <c r="B18" s="42" t="s">
        <v>0</v>
      </c>
      <c r="C18" s="42" t="s">
        <v>24</v>
      </c>
      <c r="D18" s="41" t="s">
        <v>75</v>
      </c>
      <c r="E18" s="41">
        <v>5</v>
      </c>
      <c r="F18" s="41">
        <v>1</v>
      </c>
      <c r="G18" s="41">
        <v>12</v>
      </c>
      <c r="H18" s="41">
        <v>7.5010000000000003</v>
      </c>
      <c r="I18" s="41">
        <v>99</v>
      </c>
      <c r="J18" s="41">
        <v>100</v>
      </c>
      <c r="K18" s="41">
        <v>0</v>
      </c>
      <c r="L18" s="41">
        <v>0</v>
      </c>
      <c r="M18" s="42" t="s">
        <v>78</v>
      </c>
    </row>
    <row r="19" spans="1:13" ht="12.75" customHeight="1" x14ac:dyDescent="0.2">
      <c r="A19" s="41">
        <v>41</v>
      </c>
      <c r="B19" s="42" t="s">
        <v>1</v>
      </c>
      <c r="C19" s="42" t="s">
        <v>3</v>
      </c>
      <c r="D19" s="41" t="s">
        <v>75</v>
      </c>
      <c r="E19" s="41">
        <v>6.5</v>
      </c>
      <c r="F19" s="41">
        <v>1</v>
      </c>
      <c r="G19" s="41">
        <v>12</v>
      </c>
      <c r="H19" s="41">
        <v>4</v>
      </c>
      <c r="I19" s="41">
        <v>7.5</v>
      </c>
      <c r="J19" s="41">
        <v>-531.42200000000003</v>
      </c>
      <c r="K19" s="41">
        <v>158.619</v>
      </c>
      <c r="L19" s="41">
        <v>-9.9267199999999995</v>
      </c>
      <c r="M19" s="42" t="s">
        <v>78</v>
      </c>
    </row>
    <row r="20" spans="1:13" ht="12.75" customHeight="1" x14ac:dyDescent="0.2">
      <c r="A20" s="41">
        <v>41</v>
      </c>
      <c r="B20" s="42" t="s">
        <v>1</v>
      </c>
      <c r="C20" s="42" t="s">
        <v>3</v>
      </c>
      <c r="D20" s="41" t="s">
        <v>75</v>
      </c>
      <c r="E20" s="41">
        <v>8.5</v>
      </c>
      <c r="F20" s="41">
        <v>1</v>
      </c>
      <c r="G20" s="41">
        <v>12</v>
      </c>
      <c r="H20" s="41">
        <v>7.5010000000000003</v>
      </c>
      <c r="I20" s="41">
        <v>9.9</v>
      </c>
      <c r="J20" s="41">
        <v>-338.91199999999998</v>
      </c>
      <c r="K20" s="41">
        <v>128.62700000000001</v>
      </c>
      <c r="L20" s="41">
        <v>-9.3308900000000001</v>
      </c>
      <c r="M20" s="42" t="s">
        <v>78</v>
      </c>
    </row>
    <row r="21" spans="1:13" ht="12.75" customHeight="1" x14ac:dyDescent="0.2">
      <c r="A21" s="41">
        <v>43</v>
      </c>
      <c r="B21" s="42" t="s">
        <v>26</v>
      </c>
      <c r="C21" s="42" t="s">
        <v>22</v>
      </c>
      <c r="D21" s="41" t="s">
        <v>75</v>
      </c>
      <c r="E21" s="41">
        <v>6.5</v>
      </c>
      <c r="F21" s="41">
        <v>1</v>
      </c>
      <c r="G21" s="41">
        <v>12</v>
      </c>
      <c r="H21" s="41">
        <v>4</v>
      </c>
      <c r="I21" s="41">
        <v>7.5</v>
      </c>
      <c r="J21" s="41">
        <v>-531.42200000000003</v>
      </c>
      <c r="K21" s="41">
        <v>158.619</v>
      </c>
      <c r="L21" s="41">
        <v>-9.9267199999999995</v>
      </c>
      <c r="M21" s="42" t="s">
        <v>78</v>
      </c>
    </row>
    <row r="22" spans="1:13" ht="12.75" customHeight="1" x14ac:dyDescent="0.2">
      <c r="A22" s="41">
        <v>43</v>
      </c>
      <c r="B22" s="42" t="s">
        <v>26</v>
      </c>
      <c r="C22" s="42" t="s">
        <v>22</v>
      </c>
      <c r="D22" s="41" t="s">
        <v>75</v>
      </c>
      <c r="E22" s="41">
        <v>8.5</v>
      </c>
      <c r="F22" s="41">
        <v>1</v>
      </c>
      <c r="G22" s="41">
        <v>12</v>
      </c>
      <c r="H22" s="41">
        <v>7.5010000000000003</v>
      </c>
      <c r="I22" s="41">
        <v>9.9</v>
      </c>
      <c r="J22" s="41">
        <v>-338.91199999999998</v>
      </c>
      <c r="K22" s="41">
        <v>128.62700000000001</v>
      </c>
      <c r="L22" s="41">
        <v>-9.3308900000000001</v>
      </c>
      <c r="M22" s="42" t="s">
        <v>78</v>
      </c>
    </row>
    <row r="23" spans="1:13" ht="12.75" customHeight="1" x14ac:dyDescent="0.2">
      <c r="A23" s="41">
        <v>42</v>
      </c>
      <c r="B23" s="42" t="s">
        <v>1</v>
      </c>
      <c r="C23" s="42" t="s">
        <v>20</v>
      </c>
      <c r="D23" s="41" t="s">
        <v>75</v>
      </c>
      <c r="E23" s="41">
        <v>6.5</v>
      </c>
      <c r="F23" s="41">
        <v>1</v>
      </c>
      <c r="G23" s="41">
        <v>12</v>
      </c>
      <c r="H23" s="41">
        <v>4</v>
      </c>
      <c r="I23" s="41">
        <v>7.5</v>
      </c>
      <c r="J23" s="41">
        <v>-531.42200000000003</v>
      </c>
      <c r="K23" s="41">
        <v>158.619</v>
      </c>
      <c r="L23" s="41">
        <v>-9.9267199999999995</v>
      </c>
      <c r="M23" s="42" t="s">
        <v>78</v>
      </c>
    </row>
    <row r="24" spans="1:13" ht="12.75" customHeight="1" x14ac:dyDescent="0.2">
      <c r="A24" s="41">
        <v>42</v>
      </c>
      <c r="B24" s="42" t="s">
        <v>1</v>
      </c>
      <c r="C24" s="42" t="s">
        <v>20</v>
      </c>
      <c r="D24" s="41" t="s">
        <v>75</v>
      </c>
      <c r="E24" s="41">
        <v>8.5</v>
      </c>
      <c r="F24" s="41">
        <v>1</v>
      </c>
      <c r="G24" s="41">
        <v>12</v>
      </c>
      <c r="H24" s="41">
        <v>7.5010000000000003</v>
      </c>
      <c r="I24" s="41">
        <v>9.9</v>
      </c>
      <c r="J24" s="41">
        <v>-338.91199999999998</v>
      </c>
      <c r="K24" s="41">
        <v>128.62700000000001</v>
      </c>
      <c r="L24" s="41">
        <v>-9.3308900000000001</v>
      </c>
      <c r="M24" s="42" t="s">
        <v>78</v>
      </c>
    </row>
    <row r="25" spans="1:13" ht="12.75" customHeight="1" x14ac:dyDescent="0.2">
      <c r="A25" s="41">
        <v>81</v>
      </c>
      <c r="B25" s="42" t="s">
        <v>32</v>
      </c>
      <c r="C25" s="42" t="s">
        <v>76</v>
      </c>
      <c r="D25" s="41" t="s">
        <v>75</v>
      </c>
      <c r="E25" s="41">
        <v>0</v>
      </c>
      <c r="F25" s="41">
        <v>1</v>
      </c>
      <c r="G25" s="41">
        <v>5</v>
      </c>
      <c r="H25" s="41">
        <v>0</v>
      </c>
      <c r="I25" s="41">
        <v>999999</v>
      </c>
      <c r="J25" s="41">
        <v>100.7321</v>
      </c>
      <c r="K25" s="41">
        <v>-5.1737700000000002</v>
      </c>
      <c r="L25" s="41">
        <v>-1.3147800000000001</v>
      </c>
      <c r="M25" s="42" t="s">
        <v>28</v>
      </c>
    </row>
    <row r="26" spans="1:13" ht="12.75" customHeight="1" x14ac:dyDescent="0.2">
      <c r="A26" s="41">
        <v>81</v>
      </c>
      <c r="B26" s="42" t="s">
        <v>32</v>
      </c>
      <c r="C26" s="42" t="s">
        <v>76</v>
      </c>
      <c r="D26" s="41" t="s">
        <v>75</v>
      </c>
      <c r="E26" s="41">
        <v>0</v>
      </c>
      <c r="F26" s="41">
        <v>6</v>
      </c>
      <c r="G26" s="41">
        <v>10</v>
      </c>
      <c r="H26" s="41">
        <v>0</v>
      </c>
      <c r="I26" s="41">
        <v>999999</v>
      </c>
      <c r="J26" s="41">
        <v>102.34439999999999</v>
      </c>
      <c r="K26" s="41">
        <v>-19.28875</v>
      </c>
      <c r="L26" s="41">
        <v>8.7332000000000007E-2</v>
      </c>
      <c r="M26" s="42" t="s">
        <v>28</v>
      </c>
    </row>
    <row r="27" spans="1:13" ht="12.75" customHeight="1" x14ac:dyDescent="0.2">
      <c r="A27" s="41">
        <v>81</v>
      </c>
      <c r="B27" s="42" t="s">
        <v>32</v>
      </c>
      <c r="C27" s="42" t="s">
        <v>76</v>
      </c>
      <c r="D27" s="41" t="s">
        <v>75</v>
      </c>
      <c r="E27" s="41">
        <v>0</v>
      </c>
      <c r="F27" s="41">
        <v>11</v>
      </c>
      <c r="G27" s="41">
        <v>12</v>
      </c>
      <c r="H27" s="41">
        <v>0</v>
      </c>
      <c r="I27" s="41">
        <v>999999</v>
      </c>
      <c r="J27" s="41">
        <v>100.7321</v>
      </c>
      <c r="K27" s="41">
        <v>-5.1737700000000002</v>
      </c>
      <c r="L27" s="41">
        <v>-1.3147800000000001</v>
      </c>
      <c r="M27" s="42" t="s">
        <v>28</v>
      </c>
    </row>
    <row r="28" spans="1:13" ht="12.75" customHeight="1" x14ac:dyDescent="0.2">
      <c r="A28" s="41">
        <v>82</v>
      </c>
      <c r="B28" s="42" t="s">
        <v>32</v>
      </c>
      <c r="C28" s="42" t="s">
        <v>80</v>
      </c>
      <c r="D28" s="41" t="s">
        <v>75</v>
      </c>
      <c r="E28" s="41">
        <v>0</v>
      </c>
      <c r="F28" s="41">
        <v>1</v>
      </c>
      <c r="G28" s="41">
        <v>5</v>
      </c>
      <c r="H28" s="41">
        <v>0</v>
      </c>
      <c r="I28" s="41">
        <v>999999</v>
      </c>
      <c r="J28" s="41">
        <v>100.7779</v>
      </c>
      <c r="K28" s="41">
        <v>1.4727300000000001</v>
      </c>
      <c r="L28" s="41">
        <v>-2.1601400000000002</v>
      </c>
      <c r="M28" s="42" t="s">
        <v>28</v>
      </c>
    </row>
    <row r="29" spans="1:13" ht="12.75" customHeight="1" x14ac:dyDescent="0.2">
      <c r="A29" s="41">
        <v>82</v>
      </c>
      <c r="B29" s="42" t="s">
        <v>32</v>
      </c>
      <c r="C29" s="42" t="s">
        <v>80</v>
      </c>
      <c r="D29" s="41" t="s">
        <v>75</v>
      </c>
      <c r="E29" s="41">
        <v>0</v>
      </c>
      <c r="F29" s="41">
        <v>6</v>
      </c>
      <c r="G29" s="41">
        <v>10</v>
      </c>
      <c r="H29" s="41">
        <v>0</v>
      </c>
      <c r="I29" s="41">
        <v>999999</v>
      </c>
      <c r="J29" s="41">
        <v>109.9171</v>
      </c>
      <c r="K29" s="41">
        <v>-11.278700000000001</v>
      </c>
      <c r="L29" s="41">
        <v>-0.69810300000000003</v>
      </c>
      <c r="M29" s="42" t="s">
        <v>28</v>
      </c>
    </row>
    <row r="30" spans="1:13" ht="12.75" customHeight="1" x14ac:dyDescent="0.2">
      <c r="A30" s="41">
        <v>82</v>
      </c>
      <c r="B30" s="42" t="s">
        <v>32</v>
      </c>
      <c r="C30" s="42" t="s">
        <v>80</v>
      </c>
      <c r="D30" s="41" t="s">
        <v>75</v>
      </c>
      <c r="E30" s="41">
        <v>0</v>
      </c>
      <c r="F30" s="41">
        <v>11</v>
      </c>
      <c r="G30" s="41">
        <v>12</v>
      </c>
      <c r="H30" s="41">
        <v>0</v>
      </c>
      <c r="I30" s="41">
        <v>999999</v>
      </c>
      <c r="J30" s="41">
        <v>100.7779</v>
      </c>
      <c r="K30" s="41">
        <v>1.4727300000000001</v>
      </c>
      <c r="L30" s="41">
        <v>-2.1601400000000002</v>
      </c>
      <c r="M30" s="42" t="s">
        <v>28</v>
      </c>
    </row>
    <row r="31" spans="1:13" ht="12.75" customHeight="1" x14ac:dyDescent="0.2">
      <c r="A31" s="41">
        <v>83</v>
      </c>
      <c r="B31" s="42" t="s">
        <v>32</v>
      </c>
      <c r="C31" s="42" t="s">
        <v>79</v>
      </c>
      <c r="D31" s="41" t="s">
        <v>75</v>
      </c>
      <c r="E31" s="41">
        <v>0</v>
      </c>
      <c r="F31" s="41">
        <v>1</v>
      </c>
      <c r="G31" s="41">
        <v>5</v>
      </c>
      <c r="H31" s="41">
        <v>0</v>
      </c>
      <c r="I31" s="41">
        <v>999999</v>
      </c>
      <c r="J31" s="41">
        <v>100.90779999999999</v>
      </c>
      <c r="K31" s="41">
        <v>-7.1955999999999998</v>
      </c>
      <c r="L31" s="41">
        <v>-2.2653599999999998</v>
      </c>
      <c r="M31" s="42" t="s">
        <v>28</v>
      </c>
    </row>
    <row r="32" spans="1:13" ht="12.75" customHeight="1" x14ac:dyDescent="0.2">
      <c r="A32" s="41">
        <v>83</v>
      </c>
      <c r="B32" s="42" t="s">
        <v>32</v>
      </c>
      <c r="C32" s="42" t="s">
        <v>79</v>
      </c>
      <c r="D32" s="41" t="s">
        <v>75</v>
      </c>
      <c r="E32" s="41">
        <v>0</v>
      </c>
      <c r="F32" s="41">
        <v>6</v>
      </c>
      <c r="G32" s="41">
        <v>10</v>
      </c>
      <c r="H32" s="41">
        <v>0</v>
      </c>
      <c r="I32" s="41">
        <v>999999</v>
      </c>
      <c r="J32" s="41">
        <v>102.5005</v>
      </c>
      <c r="K32" s="41">
        <v>-26.039000000000001</v>
      </c>
      <c r="L32" s="41">
        <v>-0.768096</v>
      </c>
      <c r="M32" s="42" t="s">
        <v>28</v>
      </c>
    </row>
    <row r="33" spans="1:13" ht="12.75" customHeight="1" x14ac:dyDescent="0.2">
      <c r="A33" s="41">
        <v>83</v>
      </c>
      <c r="B33" s="42" t="s">
        <v>32</v>
      </c>
      <c r="C33" s="42" t="s">
        <v>79</v>
      </c>
      <c r="D33" s="41" t="s">
        <v>75</v>
      </c>
      <c r="E33" s="41">
        <v>0</v>
      </c>
      <c r="F33" s="41">
        <v>11</v>
      </c>
      <c r="G33" s="41">
        <v>12</v>
      </c>
      <c r="H33" s="41">
        <v>0</v>
      </c>
      <c r="I33" s="41">
        <v>999999</v>
      </c>
      <c r="J33" s="41">
        <v>100.90779999999999</v>
      </c>
      <c r="K33" s="41">
        <v>-7.1955999999999998</v>
      </c>
      <c r="L33" s="41">
        <v>-2.2653599999999998</v>
      </c>
      <c r="M33" s="42" t="s">
        <v>28</v>
      </c>
    </row>
    <row r="34" spans="1:13" ht="12.75" customHeight="1" x14ac:dyDescent="0.2">
      <c r="A34" s="41">
        <v>84</v>
      </c>
      <c r="B34" s="42" t="s">
        <v>32</v>
      </c>
      <c r="C34" s="42" t="s">
        <v>81</v>
      </c>
      <c r="D34" s="41" t="s">
        <v>75</v>
      </c>
      <c r="E34" s="41">
        <v>0</v>
      </c>
      <c r="F34" s="41">
        <v>1</v>
      </c>
      <c r="G34" s="41">
        <v>5</v>
      </c>
      <c r="H34" s="41">
        <v>0</v>
      </c>
      <c r="I34" s="41">
        <v>999999</v>
      </c>
      <c r="J34" s="41">
        <v>101.1482</v>
      </c>
      <c r="K34" s="41">
        <v>-4.2313599999999996</v>
      </c>
      <c r="L34" s="41">
        <v>-1.33006</v>
      </c>
      <c r="M34" s="42" t="s">
        <v>28</v>
      </c>
    </row>
    <row r="35" spans="1:13" ht="12.75" customHeight="1" x14ac:dyDescent="0.2">
      <c r="A35" s="41">
        <v>84</v>
      </c>
      <c r="B35" s="42" t="s">
        <v>32</v>
      </c>
      <c r="C35" s="42" t="s">
        <v>81</v>
      </c>
      <c r="D35" s="41" t="s">
        <v>75</v>
      </c>
      <c r="E35" s="41">
        <v>0</v>
      </c>
      <c r="F35" s="41">
        <v>6</v>
      </c>
      <c r="G35" s="41">
        <v>10</v>
      </c>
      <c r="H35" s="41">
        <v>0</v>
      </c>
      <c r="I35" s="41">
        <v>999999</v>
      </c>
      <c r="J35" s="41">
        <v>100.2034</v>
      </c>
      <c r="K35" s="41">
        <v>8.4970599999999994</v>
      </c>
      <c r="L35" s="41">
        <v>-5.1793699999999996</v>
      </c>
      <c r="M35" s="42" t="s">
        <v>28</v>
      </c>
    </row>
    <row r="36" spans="1:13" ht="12.75" customHeight="1" x14ac:dyDescent="0.2">
      <c r="A36" s="41">
        <v>84</v>
      </c>
      <c r="B36" s="42" t="s">
        <v>32</v>
      </c>
      <c r="C36" s="42" t="s">
        <v>81</v>
      </c>
      <c r="D36" s="41" t="s">
        <v>75</v>
      </c>
      <c r="E36" s="41">
        <v>0</v>
      </c>
      <c r="F36" s="41">
        <v>11</v>
      </c>
      <c r="G36" s="41">
        <v>12</v>
      </c>
      <c r="H36" s="41">
        <v>0</v>
      </c>
      <c r="I36" s="41">
        <v>999999</v>
      </c>
      <c r="J36" s="41">
        <v>101.1482</v>
      </c>
      <c r="K36" s="41">
        <v>-4.2313599999999996</v>
      </c>
      <c r="L36" s="41">
        <v>-1.33006</v>
      </c>
      <c r="M36" s="42" t="s">
        <v>28</v>
      </c>
    </row>
    <row r="37" spans="1:13" ht="12.75" customHeight="1" x14ac:dyDescent="0.2">
      <c r="A37" s="41">
        <v>85</v>
      </c>
      <c r="B37" s="42" t="s">
        <v>32</v>
      </c>
      <c r="C37" s="42" t="s">
        <v>77</v>
      </c>
      <c r="D37" s="41" t="s">
        <v>75</v>
      </c>
      <c r="E37" s="41">
        <v>0</v>
      </c>
      <c r="F37" s="41">
        <v>1</v>
      </c>
      <c r="G37" s="41">
        <v>5</v>
      </c>
      <c r="H37" s="41">
        <v>0</v>
      </c>
      <c r="I37" s="41">
        <v>999999</v>
      </c>
      <c r="J37" s="41">
        <v>102.687</v>
      </c>
      <c r="K37" s="41">
        <v>-17.525600000000001</v>
      </c>
      <c r="L37" s="41">
        <v>0.46776899999999999</v>
      </c>
      <c r="M37" s="42" t="s">
        <v>28</v>
      </c>
    </row>
    <row r="38" spans="1:13" ht="12.75" customHeight="1" x14ac:dyDescent="0.2">
      <c r="A38" s="41">
        <v>85</v>
      </c>
      <c r="B38" s="42" t="s">
        <v>32</v>
      </c>
      <c r="C38" s="42" t="s">
        <v>77</v>
      </c>
      <c r="D38" s="41" t="s">
        <v>75</v>
      </c>
      <c r="E38" s="41">
        <v>0</v>
      </c>
      <c r="F38" s="41">
        <v>6</v>
      </c>
      <c r="G38" s="41">
        <v>10</v>
      </c>
      <c r="H38" s="41">
        <v>0</v>
      </c>
      <c r="I38" s="41">
        <v>999999</v>
      </c>
      <c r="J38" s="41">
        <v>101.9152</v>
      </c>
      <c r="K38" s="41">
        <v>-17.276499999999999</v>
      </c>
      <c r="L38" s="41">
        <v>-1.3942399999999999</v>
      </c>
      <c r="M38" s="42" t="s">
        <v>28</v>
      </c>
    </row>
    <row r="39" spans="1:13" ht="12.75" customHeight="1" x14ac:dyDescent="0.2">
      <c r="A39" s="41">
        <v>85</v>
      </c>
      <c r="B39" s="42" t="s">
        <v>32</v>
      </c>
      <c r="C39" s="42" t="s">
        <v>77</v>
      </c>
      <c r="D39" s="41" t="s">
        <v>75</v>
      </c>
      <c r="E39" s="41">
        <v>0</v>
      </c>
      <c r="F39" s="41">
        <v>11</v>
      </c>
      <c r="G39" s="41">
        <v>12</v>
      </c>
      <c r="H39" s="41">
        <v>0</v>
      </c>
      <c r="I39" s="41">
        <v>999999</v>
      </c>
      <c r="J39" s="41">
        <v>102.687</v>
      </c>
      <c r="K39" s="41">
        <v>-17.525600000000001</v>
      </c>
      <c r="L39" s="41">
        <v>0.46776899999999999</v>
      </c>
      <c r="M39" s="42" t="s">
        <v>28</v>
      </c>
    </row>
    <row r="40" spans="1:13" ht="12.75" customHeight="1" x14ac:dyDescent="0.2">
      <c r="A40" s="41">
        <v>11</v>
      </c>
      <c r="B40" s="42" t="s">
        <v>19</v>
      </c>
      <c r="C40" s="42" t="s">
        <v>3</v>
      </c>
      <c r="D40" s="41" t="s">
        <v>75</v>
      </c>
      <c r="E40" s="41">
        <v>18</v>
      </c>
      <c r="F40" s="41">
        <v>1</v>
      </c>
      <c r="G40" s="41">
        <v>12</v>
      </c>
      <c r="H40" s="41">
        <v>-9</v>
      </c>
      <c r="I40" s="41">
        <v>99</v>
      </c>
      <c r="J40" s="41">
        <v>107.61499999999999</v>
      </c>
      <c r="K40" s="41">
        <v>0.92390700000000003</v>
      </c>
      <c r="L40" s="41">
        <v>-0.13556299999999999</v>
      </c>
      <c r="M40" s="42" t="s">
        <v>78</v>
      </c>
    </row>
    <row r="41" spans="1:13" ht="12.75" customHeight="1" x14ac:dyDescent="0.2">
      <c r="A41" s="41">
        <v>14</v>
      </c>
      <c r="B41" s="42" t="s">
        <v>19</v>
      </c>
      <c r="C41" s="42" t="s">
        <v>22</v>
      </c>
      <c r="D41" s="41" t="s">
        <v>75</v>
      </c>
      <c r="E41" s="41">
        <v>16</v>
      </c>
      <c r="F41" s="41">
        <v>1</v>
      </c>
      <c r="G41" s="41">
        <v>12</v>
      </c>
      <c r="H41" s="41">
        <v>-9</v>
      </c>
      <c r="I41" s="41">
        <v>99</v>
      </c>
      <c r="J41" s="41">
        <v>100</v>
      </c>
      <c r="K41" s="41">
        <v>0.92390700000000003</v>
      </c>
      <c r="L41" s="41">
        <v>-0.13556299999999999</v>
      </c>
      <c r="M41" s="42" t="s">
        <v>78</v>
      </c>
    </row>
    <row r="42" spans="1:13" ht="12.75" customHeight="1" x14ac:dyDescent="0.2">
      <c r="A42" s="41">
        <v>12</v>
      </c>
      <c r="B42" s="42" t="s">
        <v>19</v>
      </c>
      <c r="C42" s="42" t="s">
        <v>20</v>
      </c>
      <c r="D42" s="41" t="s">
        <v>75</v>
      </c>
      <c r="E42" s="41">
        <v>21</v>
      </c>
      <c r="F42" s="41">
        <v>1</v>
      </c>
      <c r="G42" s="41">
        <v>12</v>
      </c>
      <c r="H42" s="41">
        <v>-9</v>
      </c>
      <c r="I42" s="41">
        <v>99</v>
      </c>
      <c r="J42" s="41">
        <v>88.123400000000004</v>
      </c>
      <c r="K42" s="41">
        <v>3.9807999999999999</v>
      </c>
      <c r="L42" s="41">
        <v>-0.20788499999999999</v>
      </c>
      <c r="M42" s="42" t="s">
        <v>78</v>
      </c>
    </row>
    <row r="43" spans="1:13" ht="12.75" customHeight="1" x14ac:dyDescent="0.2">
      <c r="A43" s="41">
        <v>13</v>
      </c>
      <c r="B43" s="42" t="s">
        <v>19</v>
      </c>
      <c r="C43" s="42" t="s">
        <v>21</v>
      </c>
      <c r="D43" s="41" t="s">
        <v>75</v>
      </c>
      <c r="E43" s="41">
        <v>20</v>
      </c>
      <c r="F43" s="41">
        <v>1</v>
      </c>
      <c r="G43" s="41">
        <v>12</v>
      </c>
      <c r="H43" s="41">
        <v>-9</v>
      </c>
      <c r="I43" s="41">
        <v>99</v>
      </c>
      <c r="J43" s="41">
        <v>104.8229</v>
      </c>
      <c r="K43" s="41">
        <v>2.0088599999999999</v>
      </c>
      <c r="L43" s="41">
        <v>-0.16245299999999999</v>
      </c>
      <c r="M43" s="42" t="s">
        <v>78</v>
      </c>
    </row>
    <row r="44" spans="1:13" ht="12.75" customHeight="1" x14ac:dyDescent="0.2">
      <c r="A44" s="41">
        <v>71</v>
      </c>
      <c r="B44" s="42" t="s">
        <v>31</v>
      </c>
      <c r="C44" s="42" t="s">
        <v>76</v>
      </c>
      <c r="D44" s="41" t="s">
        <v>75</v>
      </c>
      <c r="E44" s="41">
        <v>0</v>
      </c>
      <c r="F44" s="41">
        <v>1</v>
      </c>
      <c r="G44" s="41">
        <v>5</v>
      </c>
      <c r="H44" s="41">
        <v>0</v>
      </c>
      <c r="I44" s="41">
        <v>999</v>
      </c>
      <c r="J44" s="41">
        <v>-22.304300000000001</v>
      </c>
      <c r="K44" s="41">
        <v>-31.206700000000001</v>
      </c>
      <c r="L44" s="41">
        <v>-0.90880000000000005</v>
      </c>
      <c r="M44" s="42" t="s">
        <v>28</v>
      </c>
    </row>
    <row r="45" spans="1:13" ht="12.75" customHeight="1" x14ac:dyDescent="0.2">
      <c r="A45" s="41">
        <v>71</v>
      </c>
      <c r="B45" s="42" t="s">
        <v>31</v>
      </c>
      <c r="C45" s="42" t="s">
        <v>76</v>
      </c>
      <c r="D45" s="41" t="s">
        <v>75</v>
      </c>
      <c r="E45" s="41">
        <v>0</v>
      </c>
      <c r="F45" s="41">
        <v>6</v>
      </c>
      <c r="G45" s="41">
        <v>10</v>
      </c>
      <c r="H45" s="41">
        <v>0</v>
      </c>
      <c r="I45" s="41">
        <v>999</v>
      </c>
      <c r="J45" s="41">
        <v>-45.643500000000003</v>
      </c>
      <c r="K45" s="41">
        <v>-22.435700000000001</v>
      </c>
      <c r="L45" s="41">
        <v>2.11808</v>
      </c>
      <c r="M45" s="42" t="s">
        <v>28</v>
      </c>
    </row>
    <row r="46" spans="1:13" ht="12.75" customHeight="1" x14ac:dyDescent="0.2">
      <c r="A46" s="41">
        <v>71</v>
      </c>
      <c r="B46" s="42" t="s">
        <v>31</v>
      </c>
      <c r="C46" s="42" t="s">
        <v>76</v>
      </c>
      <c r="D46" s="41" t="s">
        <v>75</v>
      </c>
      <c r="E46" s="41">
        <v>0</v>
      </c>
      <c r="F46" s="41">
        <v>11</v>
      </c>
      <c r="G46" s="41">
        <v>12</v>
      </c>
      <c r="H46" s="41">
        <v>0</v>
      </c>
      <c r="I46" s="41">
        <v>999</v>
      </c>
      <c r="J46" s="41">
        <v>-22.304300000000001</v>
      </c>
      <c r="K46" s="41">
        <v>-31.206700000000001</v>
      </c>
      <c r="L46" s="41">
        <v>-0.90880000000000005</v>
      </c>
      <c r="M46" s="42" t="s">
        <v>28</v>
      </c>
    </row>
    <row r="47" spans="1:13" ht="12.75" customHeight="1" x14ac:dyDescent="0.2">
      <c r="A47" s="41">
        <v>72</v>
      </c>
      <c r="B47" s="42" t="s">
        <v>31</v>
      </c>
      <c r="C47" s="42" t="s">
        <v>80</v>
      </c>
      <c r="D47" s="41" t="s">
        <v>75</v>
      </c>
      <c r="E47" s="41">
        <v>0</v>
      </c>
      <c r="F47" s="41">
        <v>1</v>
      </c>
      <c r="G47" s="41">
        <v>5</v>
      </c>
      <c r="H47" s="41">
        <v>0</v>
      </c>
      <c r="I47" s="41">
        <v>999</v>
      </c>
      <c r="J47" s="41">
        <v>-26.2561</v>
      </c>
      <c r="K47" s="41">
        <v>-45.216000000000001</v>
      </c>
      <c r="L47" s="41">
        <v>-3.8048299999999999</v>
      </c>
      <c r="M47" s="42" t="s">
        <v>28</v>
      </c>
    </row>
    <row r="48" spans="1:13" ht="12.75" customHeight="1" x14ac:dyDescent="0.2">
      <c r="A48" s="41">
        <v>72</v>
      </c>
      <c r="B48" s="42" t="s">
        <v>31</v>
      </c>
      <c r="C48" s="42" t="s">
        <v>80</v>
      </c>
      <c r="D48" s="41" t="s">
        <v>75</v>
      </c>
      <c r="E48" s="41">
        <v>0</v>
      </c>
      <c r="F48" s="41">
        <v>6</v>
      </c>
      <c r="G48" s="41">
        <v>10</v>
      </c>
      <c r="H48" s="41">
        <v>0</v>
      </c>
      <c r="I48" s="41">
        <v>999</v>
      </c>
      <c r="J48" s="41">
        <v>-68.002300000000005</v>
      </c>
      <c r="K48" s="41">
        <v>-57.864800000000002</v>
      </c>
      <c r="L48" s="41">
        <v>-4.5721100000000003</v>
      </c>
      <c r="M48" s="42" t="s">
        <v>28</v>
      </c>
    </row>
    <row r="49" spans="1:13" ht="12.75" customHeight="1" x14ac:dyDescent="0.2">
      <c r="A49" s="41">
        <v>72</v>
      </c>
      <c r="B49" s="42" t="s">
        <v>31</v>
      </c>
      <c r="C49" s="42" t="s">
        <v>80</v>
      </c>
      <c r="D49" s="41" t="s">
        <v>75</v>
      </c>
      <c r="E49" s="41">
        <v>0</v>
      </c>
      <c r="F49" s="41">
        <v>11</v>
      </c>
      <c r="G49" s="41">
        <v>12</v>
      </c>
      <c r="H49" s="41">
        <v>0</v>
      </c>
      <c r="I49" s="41">
        <v>999</v>
      </c>
      <c r="J49" s="41">
        <v>-26.2561</v>
      </c>
      <c r="K49" s="41">
        <v>-45.216000000000001</v>
      </c>
      <c r="L49" s="41">
        <v>-3.8048299999999999</v>
      </c>
      <c r="M49" s="42" t="s">
        <v>28</v>
      </c>
    </row>
    <row r="50" spans="1:13" ht="12.75" customHeight="1" x14ac:dyDescent="0.2">
      <c r="A50" s="41">
        <v>73</v>
      </c>
      <c r="B50" s="42" t="s">
        <v>31</v>
      </c>
      <c r="C50" s="42" t="s">
        <v>79</v>
      </c>
      <c r="D50" s="41" t="s">
        <v>75</v>
      </c>
      <c r="E50" s="41">
        <v>0</v>
      </c>
      <c r="F50" s="41">
        <v>1</v>
      </c>
      <c r="G50" s="41">
        <v>5</v>
      </c>
      <c r="H50" s="41">
        <v>0</v>
      </c>
      <c r="I50" s="41">
        <v>999</v>
      </c>
      <c r="J50" s="41">
        <v>-26.6586</v>
      </c>
      <c r="K50" s="41">
        <v>-13.732699999999999</v>
      </c>
      <c r="L50" s="41">
        <v>3.0929500000000001</v>
      </c>
      <c r="M50" s="42" t="s">
        <v>28</v>
      </c>
    </row>
    <row r="51" spans="1:13" ht="12.75" customHeight="1" x14ac:dyDescent="0.2">
      <c r="A51" s="41">
        <v>73</v>
      </c>
      <c r="B51" s="42" t="s">
        <v>31</v>
      </c>
      <c r="C51" s="42" t="s">
        <v>79</v>
      </c>
      <c r="D51" s="41" t="s">
        <v>75</v>
      </c>
      <c r="E51" s="41">
        <v>0</v>
      </c>
      <c r="F51" s="41">
        <v>6</v>
      </c>
      <c r="G51" s="41">
        <v>10</v>
      </c>
      <c r="H51" s="41">
        <v>0</v>
      </c>
      <c r="I51" s="41">
        <v>999</v>
      </c>
      <c r="J51" s="41">
        <v>-82.350999999999999</v>
      </c>
      <c r="K51" s="41">
        <v>-38.609099999999998</v>
      </c>
      <c r="L51" s="41">
        <v>0</v>
      </c>
      <c r="M51" s="42" t="s">
        <v>28</v>
      </c>
    </row>
    <row r="52" spans="1:13" ht="12.75" customHeight="1" x14ac:dyDescent="0.2">
      <c r="A52" s="41">
        <v>73</v>
      </c>
      <c r="B52" s="42" t="s">
        <v>31</v>
      </c>
      <c r="C52" s="42" t="s">
        <v>79</v>
      </c>
      <c r="D52" s="41" t="s">
        <v>75</v>
      </c>
      <c r="E52" s="41">
        <v>0</v>
      </c>
      <c r="F52" s="41">
        <v>11</v>
      </c>
      <c r="G52" s="41">
        <v>12</v>
      </c>
      <c r="H52" s="41">
        <v>0</v>
      </c>
      <c r="I52" s="41">
        <v>999</v>
      </c>
      <c r="J52" s="41">
        <v>-26.6586</v>
      </c>
      <c r="K52" s="41">
        <v>-13.732699999999999</v>
      </c>
      <c r="L52" s="41">
        <v>3.0929500000000001</v>
      </c>
      <c r="M52" s="42" t="s">
        <v>28</v>
      </c>
    </row>
    <row r="53" spans="1:13" ht="12.75" customHeight="1" x14ac:dyDescent="0.2">
      <c r="A53" s="41">
        <v>74</v>
      </c>
      <c r="B53" s="42" t="s">
        <v>31</v>
      </c>
      <c r="C53" s="42" t="s">
        <v>81</v>
      </c>
      <c r="D53" s="41" t="s">
        <v>75</v>
      </c>
      <c r="E53" s="41">
        <v>0</v>
      </c>
      <c r="F53" s="41">
        <v>1</v>
      </c>
      <c r="G53" s="41">
        <v>5</v>
      </c>
      <c r="H53" s="41">
        <v>0</v>
      </c>
      <c r="I53" s="41">
        <v>999</v>
      </c>
      <c r="J53" s="41">
        <v>24.1568</v>
      </c>
      <c r="K53" s="41">
        <v>-26.811299999999999</v>
      </c>
      <c r="L53" s="41">
        <v>-2.1863600000000001</v>
      </c>
      <c r="M53" s="42" t="s">
        <v>28</v>
      </c>
    </row>
    <row r="54" spans="1:13" ht="12.75" customHeight="1" x14ac:dyDescent="0.2">
      <c r="A54" s="41">
        <v>74</v>
      </c>
      <c r="B54" s="42" t="s">
        <v>31</v>
      </c>
      <c r="C54" s="42" t="s">
        <v>81</v>
      </c>
      <c r="D54" s="41" t="s">
        <v>75</v>
      </c>
      <c r="E54" s="41">
        <v>0</v>
      </c>
      <c r="F54" s="41">
        <v>6</v>
      </c>
      <c r="G54" s="41">
        <v>10</v>
      </c>
      <c r="H54" s="41">
        <v>0</v>
      </c>
      <c r="I54" s="41">
        <v>999</v>
      </c>
      <c r="J54" s="41">
        <v>28.3779</v>
      </c>
      <c r="K54" s="41">
        <v>-17.2759</v>
      </c>
      <c r="L54" s="41">
        <v>-0.2800899</v>
      </c>
      <c r="M54" s="42" t="s">
        <v>28</v>
      </c>
    </row>
    <row r="55" spans="1:13" ht="12.75" customHeight="1" x14ac:dyDescent="0.2">
      <c r="A55" s="41">
        <v>74</v>
      </c>
      <c r="B55" s="42" t="s">
        <v>31</v>
      </c>
      <c r="C55" s="42" t="s">
        <v>81</v>
      </c>
      <c r="D55" s="41" t="s">
        <v>75</v>
      </c>
      <c r="E55" s="41">
        <v>0</v>
      </c>
      <c r="F55" s="41">
        <v>11</v>
      </c>
      <c r="G55" s="41">
        <v>12</v>
      </c>
      <c r="H55" s="41">
        <v>0</v>
      </c>
      <c r="I55" s="41">
        <v>999</v>
      </c>
      <c r="J55" s="41">
        <v>24.1568</v>
      </c>
      <c r="K55" s="41">
        <v>-26.811299999999999</v>
      </c>
      <c r="L55" s="41">
        <v>-2.1863600000000001</v>
      </c>
      <c r="M55" s="42" t="s">
        <v>28</v>
      </c>
    </row>
    <row r="56" spans="1:13" ht="12.75" customHeight="1" x14ac:dyDescent="0.2">
      <c r="A56" s="41">
        <v>75</v>
      </c>
      <c r="B56" s="42" t="s">
        <v>31</v>
      </c>
      <c r="C56" s="42" t="s">
        <v>77</v>
      </c>
      <c r="D56" s="41" t="s">
        <v>75</v>
      </c>
      <c r="E56" s="41">
        <v>0</v>
      </c>
      <c r="F56" s="41">
        <v>1</v>
      </c>
      <c r="G56" s="41">
        <v>5</v>
      </c>
      <c r="H56" s="41">
        <v>0</v>
      </c>
      <c r="I56" s="41">
        <v>999</v>
      </c>
      <c r="J56" s="41">
        <v>-57.611699999999999</v>
      </c>
      <c r="K56" s="41">
        <v>-58.0565</v>
      </c>
      <c r="L56" s="41">
        <v>-5.11388</v>
      </c>
      <c r="M56" s="42" t="s">
        <v>28</v>
      </c>
    </row>
    <row r="57" spans="1:13" ht="12.75" customHeight="1" x14ac:dyDescent="0.2">
      <c r="A57" s="41">
        <v>75</v>
      </c>
      <c r="B57" s="42" t="s">
        <v>31</v>
      </c>
      <c r="C57" s="42" t="s">
        <v>77</v>
      </c>
      <c r="D57" s="41" t="s">
        <v>75</v>
      </c>
      <c r="E57" s="41">
        <v>0</v>
      </c>
      <c r="F57" s="41">
        <v>6</v>
      </c>
      <c r="G57" s="41">
        <v>10</v>
      </c>
      <c r="H57" s="41">
        <v>0</v>
      </c>
      <c r="I57" s="41">
        <v>999</v>
      </c>
      <c r="J57" s="41">
        <v>-39.280500000000004</v>
      </c>
      <c r="K57" s="41">
        <v>-29.718699999999998</v>
      </c>
      <c r="L57" s="41">
        <v>0.2257024</v>
      </c>
      <c r="M57" s="42" t="s">
        <v>28</v>
      </c>
    </row>
    <row r="58" spans="1:13" ht="12.75" customHeight="1" x14ac:dyDescent="0.2">
      <c r="A58" s="41">
        <v>75</v>
      </c>
      <c r="B58" s="42" t="s">
        <v>31</v>
      </c>
      <c r="C58" s="42" t="s">
        <v>77</v>
      </c>
      <c r="D58" s="41" t="s">
        <v>75</v>
      </c>
      <c r="E58" s="41">
        <v>0</v>
      </c>
      <c r="F58" s="41">
        <v>11</v>
      </c>
      <c r="G58" s="41">
        <v>12</v>
      </c>
      <c r="H58" s="41">
        <v>0</v>
      </c>
      <c r="I58" s="41">
        <v>999</v>
      </c>
      <c r="J58" s="41">
        <v>-57.611699999999999</v>
      </c>
      <c r="K58" s="41">
        <v>-58.0565</v>
      </c>
      <c r="L58" s="41">
        <v>-5.11388</v>
      </c>
      <c r="M58" s="42" t="s">
        <v>28</v>
      </c>
    </row>
    <row r="59" spans="1:13" ht="12.75" customHeight="1" x14ac:dyDescent="0.2">
      <c r="A59" s="41">
        <v>61</v>
      </c>
      <c r="B59" s="42" t="s">
        <v>33</v>
      </c>
      <c r="C59" s="42" t="s">
        <v>76</v>
      </c>
      <c r="D59" s="41" t="s">
        <v>75</v>
      </c>
      <c r="E59" s="41">
        <v>0</v>
      </c>
      <c r="F59" s="41">
        <v>1</v>
      </c>
      <c r="G59" s="41">
        <v>5</v>
      </c>
      <c r="H59" s="41">
        <v>0</v>
      </c>
      <c r="I59" s="41">
        <v>999</v>
      </c>
      <c r="J59" s="41">
        <v>102.3021</v>
      </c>
      <c r="K59" s="41">
        <v>-43.188200000000002</v>
      </c>
      <c r="L59" s="41">
        <v>-19.764099999999999</v>
      </c>
      <c r="M59" s="42" t="s">
        <v>78</v>
      </c>
    </row>
    <row r="60" spans="1:13" ht="12.75" customHeight="1" x14ac:dyDescent="0.2">
      <c r="A60" s="41">
        <v>61</v>
      </c>
      <c r="B60" s="42" t="s">
        <v>33</v>
      </c>
      <c r="C60" s="42" t="s">
        <v>76</v>
      </c>
      <c r="D60" s="41" t="s">
        <v>75</v>
      </c>
      <c r="E60" s="41">
        <v>0</v>
      </c>
      <c r="F60" s="41">
        <v>6</v>
      </c>
      <c r="G60" s="41">
        <v>10</v>
      </c>
      <c r="H60" s="41">
        <v>0</v>
      </c>
      <c r="I60" s="41">
        <v>999</v>
      </c>
      <c r="J60" s="41">
        <v>102.9609</v>
      </c>
      <c r="K60" s="41">
        <v>-95.946299999999994</v>
      </c>
      <c r="L60" s="41">
        <v>0</v>
      </c>
      <c r="M60" s="42" t="s">
        <v>78</v>
      </c>
    </row>
    <row r="61" spans="1:13" ht="12.75" customHeight="1" x14ac:dyDescent="0.2">
      <c r="A61" s="41">
        <v>61</v>
      </c>
      <c r="B61" s="42" t="s">
        <v>33</v>
      </c>
      <c r="C61" s="42" t="s">
        <v>76</v>
      </c>
      <c r="D61" s="41" t="s">
        <v>75</v>
      </c>
      <c r="E61" s="41">
        <v>0</v>
      </c>
      <c r="F61" s="41">
        <v>11</v>
      </c>
      <c r="G61" s="41">
        <v>12</v>
      </c>
      <c r="H61" s="41">
        <v>0</v>
      </c>
      <c r="I61" s="41">
        <v>999</v>
      </c>
      <c r="J61" s="41">
        <v>102.3021</v>
      </c>
      <c r="K61" s="41">
        <v>-43.188200000000002</v>
      </c>
      <c r="L61" s="41">
        <v>-19.764099999999999</v>
      </c>
      <c r="M61" s="42" t="s">
        <v>78</v>
      </c>
    </row>
    <row r="62" spans="1:13" ht="12.75" customHeight="1" x14ac:dyDescent="0.2">
      <c r="A62" s="41">
        <v>62</v>
      </c>
      <c r="B62" s="42" t="s">
        <v>33</v>
      </c>
      <c r="C62" s="42" t="s">
        <v>80</v>
      </c>
      <c r="D62" s="41" t="s">
        <v>75</v>
      </c>
      <c r="E62" s="41">
        <v>0</v>
      </c>
      <c r="F62" s="41">
        <v>1</v>
      </c>
      <c r="G62" s="41">
        <v>5</v>
      </c>
      <c r="H62" s="41">
        <v>0</v>
      </c>
      <c r="I62" s="41">
        <v>999</v>
      </c>
      <c r="J62" s="41">
        <v>102.55</v>
      </c>
      <c r="K62" s="41">
        <v>-3.8620199999999998</v>
      </c>
      <c r="L62" s="41">
        <v>-61.136400000000002</v>
      </c>
      <c r="M62" s="42" t="s">
        <v>78</v>
      </c>
    </row>
    <row r="63" spans="1:13" ht="12.75" customHeight="1" x14ac:dyDescent="0.2">
      <c r="A63" s="41">
        <v>62</v>
      </c>
      <c r="B63" s="42" t="s">
        <v>33</v>
      </c>
      <c r="C63" s="42" t="s">
        <v>80</v>
      </c>
      <c r="D63" s="41" t="s">
        <v>75</v>
      </c>
      <c r="E63" s="41">
        <v>0</v>
      </c>
      <c r="F63" s="41">
        <v>6</v>
      </c>
      <c r="G63" s="41">
        <v>10</v>
      </c>
      <c r="H63" s="41">
        <v>0</v>
      </c>
      <c r="I63" s="41">
        <v>999</v>
      </c>
      <c r="J63" s="41">
        <v>103.47790000000001</v>
      </c>
      <c r="K63" s="41">
        <v>-42.563600000000001</v>
      </c>
      <c r="L63" s="41">
        <v>-51.561100000000003</v>
      </c>
      <c r="M63" s="42" t="s">
        <v>78</v>
      </c>
    </row>
    <row r="64" spans="1:13" ht="12.75" customHeight="1" x14ac:dyDescent="0.2">
      <c r="A64" s="41">
        <v>62</v>
      </c>
      <c r="B64" s="42" t="s">
        <v>33</v>
      </c>
      <c r="C64" s="42" t="s">
        <v>80</v>
      </c>
      <c r="D64" s="41" t="s">
        <v>75</v>
      </c>
      <c r="E64" s="41">
        <v>0</v>
      </c>
      <c r="F64" s="41">
        <v>11</v>
      </c>
      <c r="G64" s="41">
        <v>12</v>
      </c>
      <c r="H64" s="41">
        <v>0</v>
      </c>
      <c r="I64" s="41">
        <v>999</v>
      </c>
      <c r="J64" s="41">
        <v>102.55</v>
      </c>
      <c r="K64" s="41">
        <v>-3.8620199999999998</v>
      </c>
      <c r="L64" s="41">
        <v>-61.136400000000002</v>
      </c>
      <c r="M64" s="42" t="s">
        <v>78</v>
      </c>
    </row>
    <row r="65" spans="1:13" ht="12.75" customHeight="1" x14ac:dyDescent="0.2">
      <c r="A65" s="41">
        <v>63</v>
      </c>
      <c r="B65" s="42" t="s">
        <v>33</v>
      </c>
      <c r="C65" s="42" t="s">
        <v>79</v>
      </c>
      <c r="D65" s="41" t="s">
        <v>75</v>
      </c>
      <c r="E65" s="41">
        <v>0</v>
      </c>
      <c r="F65" s="41">
        <v>1</v>
      </c>
      <c r="G65" s="41">
        <v>5</v>
      </c>
      <c r="H65" s="41">
        <v>0</v>
      </c>
      <c r="I65" s="41">
        <v>999</v>
      </c>
      <c r="J65" s="41">
        <v>113.2895</v>
      </c>
      <c r="K65" s="41">
        <v>-239.5035</v>
      </c>
      <c r="L65" s="41">
        <v>0</v>
      </c>
      <c r="M65" s="42" t="s">
        <v>78</v>
      </c>
    </row>
    <row r="66" spans="1:13" ht="12.75" customHeight="1" x14ac:dyDescent="0.2">
      <c r="A66" s="41">
        <v>63</v>
      </c>
      <c r="B66" s="42" t="s">
        <v>33</v>
      </c>
      <c r="C66" s="42" t="s">
        <v>79</v>
      </c>
      <c r="D66" s="41" t="s">
        <v>75</v>
      </c>
      <c r="E66" s="41">
        <v>0</v>
      </c>
      <c r="F66" s="41">
        <v>6</v>
      </c>
      <c r="G66" s="41">
        <v>10</v>
      </c>
      <c r="H66" s="41">
        <v>0</v>
      </c>
      <c r="I66" s="41">
        <v>999</v>
      </c>
      <c r="J66" s="41">
        <v>109.63</v>
      </c>
      <c r="K66" s="41">
        <v>-296.29599999999999</v>
      </c>
      <c r="L66" s="41">
        <v>0</v>
      </c>
      <c r="M66" s="42" t="s">
        <v>78</v>
      </c>
    </row>
    <row r="67" spans="1:13" ht="12.75" customHeight="1" x14ac:dyDescent="0.2">
      <c r="A67" s="41">
        <v>63</v>
      </c>
      <c r="B67" s="42" t="s">
        <v>33</v>
      </c>
      <c r="C67" s="42" t="s">
        <v>79</v>
      </c>
      <c r="D67" s="41" t="s">
        <v>75</v>
      </c>
      <c r="E67" s="41">
        <v>0</v>
      </c>
      <c r="F67" s="41">
        <v>11</v>
      </c>
      <c r="G67" s="41">
        <v>12</v>
      </c>
      <c r="H67" s="41">
        <v>0</v>
      </c>
      <c r="I67" s="41">
        <v>999</v>
      </c>
      <c r="J67" s="41">
        <v>113.2895</v>
      </c>
      <c r="K67" s="41">
        <v>-239.5035</v>
      </c>
      <c r="L67" s="41">
        <v>0</v>
      </c>
      <c r="M67" s="42" t="s">
        <v>78</v>
      </c>
    </row>
    <row r="68" spans="1:13" ht="12.75" customHeight="1" x14ac:dyDescent="0.2">
      <c r="A68" s="41">
        <v>64</v>
      </c>
      <c r="B68" s="42" t="s">
        <v>33</v>
      </c>
      <c r="C68" s="42" t="s">
        <v>81</v>
      </c>
      <c r="D68" s="41" t="s">
        <v>75</v>
      </c>
      <c r="E68" s="41">
        <v>0</v>
      </c>
      <c r="F68" s="41">
        <v>1</v>
      </c>
      <c r="G68" s="41">
        <v>5</v>
      </c>
      <c r="H68" s="41">
        <v>0</v>
      </c>
      <c r="I68" s="41">
        <v>999</v>
      </c>
      <c r="J68" s="41">
        <v>100.9614</v>
      </c>
      <c r="K68" s="41">
        <v>-15.1479</v>
      </c>
      <c r="L68" s="41">
        <v>0.66225500000000004</v>
      </c>
      <c r="M68" s="42" t="s">
        <v>78</v>
      </c>
    </row>
    <row r="69" spans="1:13" ht="12.75" customHeight="1" x14ac:dyDescent="0.2">
      <c r="A69" s="41">
        <v>64</v>
      </c>
      <c r="B69" s="42" t="s">
        <v>33</v>
      </c>
      <c r="C69" s="42" t="s">
        <v>81</v>
      </c>
      <c r="D69" s="41" t="s">
        <v>75</v>
      </c>
      <c r="E69" s="41">
        <v>0</v>
      </c>
      <c r="F69" s="41">
        <v>6</v>
      </c>
      <c r="G69" s="41">
        <v>10</v>
      </c>
      <c r="H69" s="41">
        <v>0</v>
      </c>
      <c r="I69" s="41">
        <v>999</v>
      </c>
      <c r="J69" s="41">
        <v>100</v>
      </c>
      <c r="K69" s="41">
        <v>-14.14</v>
      </c>
      <c r="L69" s="41">
        <v>0</v>
      </c>
      <c r="M69" s="42" t="s">
        <v>78</v>
      </c>
    </row>
    <row r="70" spans="1:13" ht="12.75" customHeight="1" x14ac:dyDescent="0.2">
      <c r="A70" s="41">
        <v>64</v>
      </c>
      <c r="B70" s="42" t="s">
        <v>33</v>
      </c>
      <c r="C70" s="42" t="s">
        <v>81</v>
      </c>
      <c r="D70" s="41" t="s">
        <v>75</v>
      </c>
      <c r="E70" s="41">
        <v>0</v>
      </c>
      <c r="F70" s="41">
        <v>11</v>
      </c>
      <c r="G70" s="41">
        <v>12</v>
      </c>
      <c r="H70" s="41">
        <v>0</v>
      </c>
      <c r="I70" s="41">
        <v>999</v>
      </c>
      <c r="J70" s="41">
        <v>100.9614</v>
      </c>
      <c r="K70" s="41">
        <v>-15.1479</v>
      </c>
      <c r="L70" s="41">
        <v>0.66225500000000004</v>
      </c>
      <c r="M70" s="42" t="s">
        <v>78</v>
      </c>
    </row>
    <row r="71" spans="1:13" ht="12.75" customHeight="1" x14ac:dyDescent="0.2">
      <c r="A71" s="41">
        <v>65</v>
      </c>
      <c r="B71" s="42" t="s">
        <v>33</v>
      </c>
      <c r="C71" s="42" t="s">
        <v>77</v>
      </c>
      <c r="D71" s="41" t="s">
        <v>75</v>
      </c>
      <c r="E71" s="41">
        <v>0</v>
      </c>
      <c r="F71" s="41">
        <v>1</v>
      </c>
      <c r="G71" s="41">
        <v>5</v>
      </c>
      <c r="H71" s="41">
        <v>0</v>
      </c>
      <c r="I71" s="41">
        <v>999</v>
      </c>
      <c r="J71" s="41">
        <v>100.3186</v>
      </c>
      <c r="K71" s="41">
        <v>4.9997999999999996</v>
      </c>
      <c r="L71" s="41">
        <v>-31.269100000000002</v>
      </c>
      <c r="M71" s="42" t="s">
        <v>78</v>
      </c>
    </row>
    <row r="72" spans="1:13" ht="12.75" customHeight="1" x14ac:dyDescent="0.2">
      <c r="A72" s="41">
        <v>65</v>
      </c>
      <c r="B72" s="42" t="s">
        <v>33</v>
      </c>
      <c r="C72" s="42" t="s">
        <v>77</v>
      </c>
      <c r="D72" s="41" t="s">
        <v>75</v>
      </c>
      <c r="E72" s="41">
        <v>0</v>
      </c>
      <c r="F72" s="41">
        <v>6</v>
      </c>
      <c r="G72" s="41">
        <v>10</v>
      </c>
      <c r="H72" s="41">
        <v>0</v>
      </c>
      <c r="I72" s="41">
        <v>999</v>
      </c>
      <c r="J72" s="41">
        <v>100</v>
      </c>
      <c r="K72" s="41">
        <v>10</v>
      </c>
      <c r="L72" s="41">
        <v>-35</v>
      </c>
      <c r="M72" s="42" t="s">
        <v>78</v>
      </c>
    </row>
    <row r="73" spans="1:13" ht="12.75" customHeight="1" x14ac:dyDescent="0.2">
      <c r="A73" s="41">
        <v>65</v>
      </c>
      <c r="B73" s="42" t="s">
        <v>33</v>
      </c>
      <c r="C73" s="42" t="s">
        <v>77</v>
      </c>
      <c r="D73" s="41" t="s">
        <v>75</v>
      </c>
      <c r="E73" s="41">
        <v>0</v>
      </c>
      <c r="F73" s="41">
        <v>11</v>
      </c>
      <c r="G73" s="41">
        <v>12</v>
      </c>
      <c r="H73" s="41">
        <v>0</v>
      </c>
      <c r="I73" s="41">
        <v>999</v>
      </c>
      <c r="J73" s="41">
        <v>100.3186</v>
      </c>
      <c r="K73" s="41">
        <v>4.9997999999999996</v>
      </c>
      <c r="L73" s="41">
        <v>-31.269100000000002</v>
      </c>
      <c r="M73" s="42" t="s">
        <v>78</v>
      </c>
    </row>
    <row r="74" spans="1:13" ht="12.75" customHeight="1" x14ac:dyDescent="0.2">
      <c r="A74" s="41">
        <v>91</v>
      </c>
      <c r="B74" s="42" t="s">
        <v>2</v>
      </c>
      <c r="C74" s="42" t="s">
        <v>76</v>
      </c>
      <c r="D74" s="41" t="s">
        <v>75</v>
      </c>
      <c r="E74" s="41">
        <v>0</v>
      </c>
      <c r="F74" s="41">
        <v>1</v>
      </c>
      <c r="G74" s="41">
        <v>5</v>
      </c>
      <c r="H74" s="41">
        <v>0</v>
      </c>
      <c r="I74" s="41">
        <v>999999</v>
      </c>
      <c r="J74" s="41">
        <v>99.662099999999995</v>
      </c>
      <c r="K74" s="41">
        <v>-4.0524699999999996</v>
      </c>
      <c r="L74" s="41">
        <v>-2.0052599999999998</v>
      </c>
      <c r="M74" s="42" t="s">
        <v>28</v>
      </c>
    </row>
    <row r="75" spans="1:13" ht="12.75" customHeight="1" x14ac:dyDescent="0.2">
      <c r="A75" s="41">
        <v>91</v>
      </c>
      <c r="B75" s="42" t="s">
        <v>2</v>
      </c>
      <c r="C75" s="42" t="s">
        <v>76</v>
      </c>
      <c r="D75" s="41" t="s">
        <v>75</v>
      </c>
      <c r="E75" s="41">
        <v>0</v>
      </c>
      <c r="F75" s="41">
        <v>6</v>
      </c>
      <c r="G75" s="41">
        <v>10</v>
      </c>
      <c r="H75" s="41">
        <v>0</v>
      </c>
      <c r="I75" s="41">
        <v>999999</v>
      </c>
      <c r="J75" s="41">
        <v>92.357900000000001</v>
      </c>
      <c r="K75" s="41">
        <v>-14.113300000000001</v>
      </c>
      <c r="L75" s="41">
        <v>-1.1456999999999999</v>
      </c>
      <c r="M75" s="42" t="s">
        <v>28</v>
      </c>
    </row>
    <row r="76" spans="1:13" ht="12.75" customHeight="1" x14ac:dyDescent="0.2">
      <c r="A76" s="41">
        <v>91</v>
      </c>
      <c r="B76" s="42" t="s">
        <v>2</v>
      </c>
      <c r="C76" s="42" t="s">
        <v>76</v>
      </c>
      <c r="D76" s="41" t="s">
        <v>75</v>
      </c>
      <c r="E76" s="41">
        <v>0</v>
      </c>
      <c r="F76" s="41">
        <v>11</v>
      </c>
      <c r="G76" s="41">
        <v>12</v>
      </c>
      <c r="H76" s="41">
        <v>0</v>
      </c>
      <c r="I76" s="41">
        <v>999999</v>
      </c>
      <c r="J76" s="41">
        <v>99.662099999999995</v>
      </c>
      <c r="K76" s="41">
        <v>-4.0524699999999996</v>
      </c>
      <c r="L76" s="41">
        <v>-2.0052599999999998</v>
      </c>
      <c r="M76" s="42" t="s">
        <v>28</v>
      </c>
    </row>
    <row r="77" spans="1:13" ht="12.75" customHeight="1" x14ac:dyDescent="0.2">
      <c r="A77" s="41">
        <v>92</v>
      </c>
      <c r="B77" s="42" t="s">
        <v>2</v>
      </c>
      <c r="C77" s="42" t="s">
        <v>80</v>
      </c>
      <c r="D77" s="41" t="s">
        <v>75</v>
      </c>
      <c r="E77" s="41">
        <v>0</v>
      </c>
      <c r="F77" s="41">
        <v>1</v>
      </c>
      <c r="G77" s="41">
        <v>5</v>
      </c>
      <c r="H77" s="41">
        <v>0</v>
      </c>
      <c r="I77" s="41">
        <v>999999</v>
      </c>
      <c r="J77" s="41">
        <v>101.1178</v>
      </c>
      <c r="K77" s="41">
        <v>-3.7926000000000001E-2</v>
      </c>
      <c r="L77" s="41">
        <v>-2.6186600000000002</v>
      </c>
      <c r="M77" s="42" t="s">
        <v>28</v>
      </c>
    </row>
    <row r="78" spans="1:13" ht="12.75" customHeight="1" x14ac:dyDescent="0.2">
      <c r="A78" s="41">
        <v>92</v>
      </c>
      <c r="B78" s="42" t="s">
        <v>2</v>
      </c>
      <c r="C78" s="42" t="s">
        <v>80</v>
      </c>
      <c r="D78" s="41" t="s">
        <v>75</v>
      </c>
      <c r="E78" s="41">
        <v>0</v>
      </c>
      <c r="F78" s="41">
        <v>6</v>
      </c>
      <c r="G78" s="41">
        <v>10</v>
      </c>
      <c r="H78" s="41">
        <v>0</v>
      </c>
      <c r="I78" s="41">
        <v>999999</v>
      </c>
      <c r="J78" s="41">
        <v>100.2948</v>
      </c>
      <c r="K78" s="41">
        <v>-5.87364</v>
      </c>
      <c r="L78" s="41">
        <v>-2.0628299999999999</v>
      </c>
      <c r="M78" s="42" t="s">
        <v>28</v>
      </c>
    </row>
    <row r="79" spans="1:13" ht="12.75" customHeight="1" x14ac:dyDescent="0.2">
      <c r="A79" s="41">
        <v>92</v>
      </c>
      <c r="B79" s="42" t="s">
        <v>2</v>
      </c>
      <c r="C79" s="42" t="s">
        <v>80</v>
      </c>
      <c r="D79" s="41" t="s">
        <v>75</v>
      </c>
      <c r="E79" s="41">
        <v>0</v>
      </c>
      <c r="F79" s="41">
        <v>11</v>
      </c>
      <c r="G79" s="41">
        <v>12</v>
      </c>
      <c r="H79" s="41">
        <v>0</v>
      </c>
      <c r="I79" s="41">
        <v>999999</v>
      </c>
      <c r="J79" s="41">
        <v>101.1178</v>
      </c>
      <c r="K79" s="41">
        <v>-3.7926000000000001E-2</v>
      </c>
      <c r="L79" s="41">
        <v>-2.6186600000000002</v>
      </c>
      <c r="M79" s="42" t="s">
        <v>28</v>
      </c>
    </row>
    <row r="80" spans="1:13" ht="12.75" customHeight="1" x14ac:dyDescent="0.2">
      <c r="A80" s="41">
        <v>93</v>
      </c>
      <c r="B80" s="42" t="s">
        <v>2</v>
      </c>
      <c r="C80" s="42" t="s">
        <v>79</v>
      </c>
      <c r="D80" s="41" t="s">
        <v>75</v>
      </c>
      <c r="E80" s="41">
        <v>0</v>
      </c>
      <c r="F80" s="41">
        <v>1</v>
      </c>
      <c r="G80" s="41">
        <v>5</v>
      </c>
      <c r="H80" s="41">
        <v>0</v>
      </c>
      <c r="I80" s="41">
        <v>999999</v>
      </c>
      <c r="J80" s="41">
        <v>90.964500000000001</v>
      </c>
      <c r="K80" s="41">
        <v>-16.296600000000002</v>
      </c>
      <c r="L80" s="41">
        <v>-0.30113099999999998</v>
      </c>
      <c r="M80" s="42" t="s">
        <v>28</v>
      </c>
    </row>
    <row r="81" spans="1:13" ht="12.75" customHeight="1" x14ac:dyDescent="0.2">
      <c r="A81" s="41">
        <v>93</v>
      </c>
      <c r="B81" s="42" t="s">
        <v>2</v>
      </c>
      <c r="C81" s="42" t="s">
        <v>79</v>
      </c>
      <c r="D81" s="41" t="s">
        <v>75</v>
      </c>
      <c r="E81" s="41">
        <v>0</v>
      </c>
      <c r="F81" s="41">
        <v>6</v>
      </c>
      <c r="G81" s="41">
        <v>10</v>
      </c>
      <c r="H81" s="41">
        <v>0</v>
      </c>
      <c r="I81" s="41">
        <v>999999</v>
      </c>
      <c r="J81" s="41">
        <v>83.981499999999997</v>
      </c>
      <c r="K81" s="41">
        <v>-26.125</v>
      </c>
      <c r="L81" s="41">
        <v>0.61845000000000006</v>
      </c>
      <c r="M81" s="42" t="s">
        <v>28</v>
      </c>
    </row>
    <row r="82" spans="1:13" ht="12.75" customHeight="1" x14ac:dyDescent="0.2">
      <c r="A82" s="41">
        <v>93</v>
      </c>
      <c r="B82" s="42" t="s">
        <v>2</v>
      </c>
      <c r="C82" s="42" t="s">
        <v>79</v>
      </c>
      <c r="D82" s="41" t="s">
        <v>75</v>
      </c>
      <c r="E82" s="41">
        <v>0</v>
      </c>
      <c r="F82" s="41">
        <v>11</v>
      </c>
      <c r="G82" s="41">
        <v>12</v>
      </c>
      <c r="H82" s="41">
        <v>0</v>
      </c>
      <c r="I82" s="41">
        <v>999999</v>
      </c>
      <c r="J82" s="41">
        <v>90.964500000000001</v>
      </c>
      <c r="K82" s="41">
        <v>-16.296600000000002</v>
      </c>
      <c r="L82" s="41">
        <v>-0.30113099999999998</v>
      </c>
      <c r="M82" s="42" t="s">
        <v>28</v>
      </c>
    </row>
    <row r="83" spans="1:13" ht="12.75" customHeight="1" x14ac:dyDescent="0.2">
      <c r="A83" s="41">
        <v>94</v>
      </c>
      <c r="B83" s="42" t="s">
        <v>2</v>
      </c>
      <c r="C83" s="42" t="s">
        <v>81</v>
      </c>
      <c r="D83" s="41" t="s">
        <v>75</v>
      </c>
      <c r="E83" s="41">
        <v>0</v>
      </c>
      <c r="F83" s="41">
        <v>1</v>
      </c>
      <c r="G83" s="41">
        <v>5</v>
      </c>
      <c r="H83" s="41">
        <v>0</v>
      </c>
      <c r="I83" s="41">
        <v>999999</v>
      </c>
      <c r="J83" s="41">
        <v>99.162400000000005</v>
      </c>
      <c r="K83" s="41">
        <v>-6.4344200000000003</v>
      </c>
      <c r="L83" s="41">
        <v>-1.31263</v>
      </c>
      <c r="M83" s="42" t="s">
        <v>28</v>
      </c>
    </row>
    <row r="84" spans="1:13" ht="12.75" customHeight="1" x14ac:dyDescent="0.2">
      <c r="A84" s="41">
        <v>94</v>
      </c>
      <c r="B84" s="42" t="s">
        <v>2</v>
      </c>
      <c r="C84" s="42" t="s">
        <v>81</v>
      </c>
      <c r="D84" s="41" t="s">
        <v>75</v>
      </c>
      <c r="E84" s="41">
        <v>0</v>
      </c>
      <c r="F84" s="41">
        <v>6</v>
      </c>
      <c r="G84" s="41">
        <v>10</v>
      </c>
      <c r="H84" s="41">
        <v>0</v>
      </c>
      <c r="I84" s="41">
        <v>999999</v>
      </c>
      <c r="J84" s="41">
        <v>99.619699999999995</v>
      </c>
      <c r="K84" s="41">
        <v>-4.4316500000000003</v>
      </c>
      <c r="L84" s="41">
        <v>-3.1983999999999999</v>
      </c>
      <c r="M84" s="42" t="s">
        <v>28</v>
      </c>
    </row>
    <row r="85" spans="1:13" ht="12.75" customHeight="1" x14ac:dyDescent="0.2">
      <c r="A85" s="41">
        <v>94</v>
      </c>
      <c r="B85" s="42" t="s">
        <v>2</v>
      </c>
      <c r="C85" s="42" t="s">
        <v>81</v>
      </c>
      <c r="D85" s="41" t="s">
        <v>75</v>
      </c>
      <c r="E85" s="41">
        <v>0</v>
      </c>
      <c r="F85" s="41">
        <v>11</v>
      </c>
      <c r="G85" s="41">
        <v>12</v>
      </c>
      <c r="H85" s="41">
        <v>0</v>
      </c>
      <c r="I85" s="41">
        <v>999999</v>
      </c>
      <c r="J85" s="41">
        <v>99.162400000000005</v>
      </c>
      <c r="K85" s="41">
        <v>-6.4344200000000003</v>
      </c>
      <c r="L85" s="41">
        <v>-1.31263</v>
      </c>
      <c r="M85" s="42" t="s">
        <v>28</v>
      </c>
    </row>
    <row r="86" spans="1:13" ht="12.75" customHeight="1" x14ac:dyDescent="0.2">
      <c r="A86" s="41">
        <v>95</v>
      </c>
      <c r="B86" s="42" t="s">
        <v>2</v>
      </c>
      <c r="C86" s="42" t="s">
        <v>77</v>
      </c>
      <c r="D86" s="41" t="s">
        <v>75</v>
      </c>
      <c r="E86" s="41">
        <v>0</v>
      </c>
      <c r="F86" s="41">
        <v>1</v>
      </c>
      <c r="G86" s="41">
        <v>5</v>
      </c>
      <c r="H86" s="41">
        <v>0</v>
      </c>
      <c r="I86" s="41">
        <v>999999</v>
      </c>
      <c r="J86" s="41">
        <v>96.111800000000002</v>
      </c>
      <c r="K86" s="41">
        <v>-18.16</v>
      </c>
      <c r="L86" s="41">
        <v>0.48294999999999999</v>
      </c>
      <c r="M86" s="42" t="s">
        <v>28</v>
      </c>
    </row>
    <row r="87" spans="1:13" ht="12.75" customHeight="1" x14ac:dyDescent="0.2">
      <c r="A87" s="41">
        <v>95</v>
      </c>
      <c r="B87" s="42" t="s">
        <v>2</v>
      </c>
      <c r="C87" s="42" t="s">
        <v>77</v>
      </c>
      <c r="D87" s="41" t="s">
        <v>75</v>
      </c>
      <c r="E87" s="41">
        <v>0</v>
      </c>
      <c r="F87" s="41">
        <v>6</v>
      </c>
      <c r="G87" s="41">
        <v>10</v>
      </c>
      <c r="H87" s="41">
        <v>0</v>
      </c>
      <c r="I87" s="41">
        <v>999999</v>
      </c>
      <c r="J87" s="41">
        <v>93.4405</v>
      </c>
      <c r="K87" s="41">
        <v>-23.241599999999998</v>
      </c>
      <c r="L87" s="41">
        <v>-1.71641</v>
      </c>
      <c r="M87" s="42" t="s">
        <v>28</v>
      </c>
    </row>
    <row r="88" spans="1:13" ht="12.75" customHeight="1" x14ac:dyDescent="0.2">
      <c r="A88" s="41">
        <v>95</v>
      </c>
      <c r="B88" s="42" t="s">
        <v>2</v>
      </c>
      <c r="C88" s="42" t="s">
        <v>77</v>
      </c>
      <c r="D88" s="41" t="s">
        <v>75</v>
      </c>
      <c r="E88" s="41">
        <v>0</v>
      </c>
      <c r="F88" s="41">
        <v>11</v>
      </c>
      <c r="G88" s="41">
        <v>12</v>
      </c>
      <c r="H88" s="41">
        <v>0</v>
      </c>
      <c r="I88" s="41">
        <v>999999</v>
      </c>
      <c r="J88" s="41">
        <v>96.111800000000002</v>
      </c>
      <c r="K88" s="41">
        <v>-18.16</v>
      </c>
      <c r="L88" s="41">
        <v>0.48294999999999999</v>
      </c>
      <c r="M88" s="42" t="s">
        <v>28</v>
      </c>
    </row>
    <row r="89" spans="1:13" ht="12.75" customHeight="1" x14ac:dyDescent="0.2">
      <c r="A89" s="2"/>
      <c r="B89" s="3"/>
      <c r="C89" s="3"/>
      <c r="D89" s="2"/>
      <c r="E89" s="2"/>
      <c r="F89" s="2"/>
      <c r="G89" s="2"/>
      <c r="H89" s="2"/>
      <c r="I89" s="2"/>
      <c r="J89" s="2"/>
      <c r="K89" s="2"/>
      <c r="L89" s="2"/>
      <c r="M89" s="3"/>
    </row>
    <row r="90" spans="1:13" ht="12.75" customHeight="1" x14ac:dyDescent="0.2">
      <c r="A90" s="2"/>
      <c r="B90" s="3"/>
      <c r="C90" s="3"/>
      <c r="D90" s="2"/>
      <c r="E90" s="2"/>
      <c r="F90" s="2"/>
      <c r="G90" s="2"/>
      <c r="H90" s="2"/>
      <c r="I90" s="2"/>
      <c r="J90" s="2"/>
      <c r="K90" s="2"/>
      <c r="L90" s="2"/>
      <c r="M90" s="3"/>
    </row>
    <row r="91" spans="1:13" ht="12.75" customHeight="1" x14ac:dyDescent="0.2">
      <c r="A91" s="2"/>
      <c r="B91" s="3"/>
      <c r="C91" s="3"/>
      <c r="D91" s="2"/>
      <c r="E91" s="2"/>
      <c r="F91" s="2"/>
      <c r="G91" s="2"/>
      <c r="H91" s="2"/>
      <c r="I91" s="2"/>
      <c r="J91" s="2"/>
      <c r="K91" s="2"/>
      <c r="L91" s="2"/>
      <c r="M91" s="3"/>
    </row>
    <row r="92" spans="1:13" ht="12.75" customHeight="1" x14ac:dyDescent="0.2">
      <c r="A92" s="2"/>
      <c r="B92" s="3"/>
      <c r="C92" s="3"/>
      <c r="D92" s="2"/>
      <c r="E92" s="2"/>
      <c r="F92" s="2"/>
      <c r="G92" s="2"/>
      <c r="H92" s="2"/>
      <c r="I92" s="2"/>
      <c r="J92" s="2"/>
      <c r="K92" s="2"/>
      <c r="L92" s="2"/>
      <c r="M92" s="3"/>
    </row>
    <row r="93" spans="1:13" ht="12.75" customHeight="1" x14ac:dyDescent="0.2">
      <c r="A93" s="2"/>
      <c r="B93" s="3"/>
      <c r="C93" s="3"/>
      <c r="D93" s="2"/>
      <c r="E93" s="2"/>
      <c r="F93" s="2"/>
      <c r="G93" s="2"/>
      <c r="H93" s="2"/>
      <c r="I93" s="2"/>
      <c r="J93" s="2"/>
      <c r="K93" s="2"/>
      <c r="L93" s="2"/>
      <c r="M93" s="3"/>
    </row>
    <row r="94" spans="1:13" ht="12.75" customHeight="1" x14ac:dyDescent="0.2">
      <c r="A94" s="2"/>
      <c r="B94" s="3"/>
      <c r="C94" s="3"/>
      <c r="D94" s="2"/>
      <c r="E94" s="2"/>
      <c r="F94" s="2"/>
      <c r="G94" s="2"/>
      <c r="H94" s="2"/>
      <c r="I94" s="2"/>
      <c r="J94" s="2"/>
      <c r="K94" s="2"/>
      <c r="L94" s="2"/>
      <c r="M94" s="3"/>
    </row>
    <row r="95" spans="1:13" ht="12.75" customHeight="1" x14ac:dyDescent="0.2">
      <c r="A95" s="2"/>
      <c r="B95" s="3"/>
      <c r="C95" s="3"/>
      <c r="D95" s="2"/>
      <c r="E95" s="2"/>
      <c r="F95" s="2"/>
      <c r="G95" s="2"/>
      <c r="H95" s="2"/>
      <c r="I95" s="2"/>
      <c r="J95" s="2"/>
      <c r="K95" s="2"/>
      <c r="L95" s="2"/>
      <c r="M95" s="3"/>
    </row>
    <row r="96" spans="1:13" ht="12.75" customHeight="1" x14ac:dyDescent="0.2">
      <c r="A96" s="2"/>
      <c r="B96" s="3"/>
      <c r="C96" s="3"/>
      <c r="D96" s="2"/>
      <c r="E96" s="2"/>
      <c r="F96" s="2"/>
      <c r="G96" s="2"/>
      <c r="H96" s="2"/>
      <c r="I96" s="2"/>
      <c r="J96" s="2"/>
      <c r="K96" s="2"/>
      <c r="L96" s="2"/>
      <c r="M96" s="3"/>
    </row>
    <row r="97" spans="1:13" ht="12.75" customHeight="1" x14ac:dyDescent="0.2">
      <c r="A97" s="2"/>
      <c r="B97" s="3"/>
      <c r="C97" s="3"/>
      <c r="D97" s="2"/>
      <c r="E97" s="2"/>
      <c r="F97" s="2"/>
      <c r="G97" s="2"/>
      <c r="H97" s="2"/>
      <c r="I97" s="2"/>
      <c r="J97" s="2"/>
      <c r="K97" s="2"/>
      <c r="L97" s="2"/>
      <c r="M97" s="3"/>
    </row>
    <row r="98" spans="1:13" ht="12.75" customHeight="1" x14ac:dyDescent="0.2">
      <c r="A98" s="2"/>
      <c r="B98" s="3"/>
      <c r="C98" s="3"/>
      <c r="D98" s="2"/>
      <c r="E98" s="2"/>
      <c r="F98" s="2"/>
      <c r="G98" s="2"/>
      <c r="H98" s="2"/>
      <c r="I98" s="2"/>
      <c r="J98" s="2"/>
      <c r="K98" s="2"/>
      <c r="L98" s="2"/>
      <c r="M98" s="3"/>
    </row>
    <row r="99" spans="1:13" ht="12.75" customHeight="1" x14ac:dyDescent="0.2">
      <c r="A99" s="2"/>
      <c r="B99" s="3"/>
      <c r="C99" s="3"/>
      <c r="D99" s="2"/>
      <c r="E99" s="2"/>
      <c r="F99" s="2"/>
      <c r="G99" s="2"/>
      <c r="H99" s="2"/>
      <c r="I99" s="2"/>
      <c r="J99" s="2"/>
      <c r="K99" s="2"/>
      <c r="L99" s="2"/>
      <c r="M99" s="3"/>
    </row>
    <row r="100" spans="1:13" ht="12.75" customHeight="1" x14ac:dyDescent="0.2">
      <c r="A100" s="2"/>
      <c r="B100" s="3"/>
      <c r="C100" s="3"/>
      <c r="D100" s="2"/>
      <c r="E100" s="2"/>
      <c r="F100" s="2"/>
      <c r="G100" s="2"/>
      <c r="H100" s="2"/>
      <c r="I100" s="2"/>
      <c r="J100" s="2"/>
      <c r="K100" s="2"/>
      <c r="L100" s="2"/>
      <c r="M100" s="3"/>
    </row>
    <row r="101" spans="1:13" ht="12.75" customHeight="1" x14ac:dyDescent="0.2">
      <c r="A101" s="2"/>
      <c r="B101" s="3"/>
      <c r="C101" s="3"/>
      <c r="D101" s="2"/>
      <c r="E101" s="2"/>
      <c r="F101" s="2"/>
      <c r="G101" s="2"/>
      <c r="H101" s="2"/>
      <c r="I101" s="2"/>
      <c r="J101" s="2"/>
      <c r="K101" s="2"/>
      <c r="L101" s="2"/>
      <c r="M101" s="3"/>
    </row>
    <row r="102" spans="1:13" ht="12.75" customHeight="1" x14ac:dyDescent="0.2">
      <c r="A102" s="2"/>
      <c r="B102" s="3"/>
      <c r="C102" s="3"/>
      <c r="D102" s="2"/>
      <c r="E102" s="2"/>
      <c r="F102" s="2"/>
      <c r="G102" s="2"/>
      <c r="H102" s="2"/>
      <c r="I102" s="2"/>
      <c r="J102" s="2"/>
      <c r="K102" s="2"/>
      <c r="L102" s="2"/>
      <c r="M102" s="3"/>
    </row>
    <row r="103" spans="1:13" ht="12.75" customHeight="1" x14ac:dyDescent="0.2">
      <c r="A103" s="2"/>
      <c r="B103" s="3"/>
      <c r="C103" s="3"/>
      <c r="D103" s="2"/>
      <c r="E103" s="2"/>
      <c r="F103" s="2"/>
      <c r="G103" s="2"/>
      <c r="H103" s="2"/>
      <c r="I103" s="2"/>
      <c r="J103" s="2"/>
      <c r="K103" s="2"/>
      <c r="L103" s="2"/>
      <c r="M103" s="3"/>
    </row>
    <row r="104" spans="1:13" ht="12.75" customHeight="1" x14ac:dyDescent="0.2">
      <c r="A104" s="2"/>
      <c r="B104" s="3"/>
      <c r="C104" s="3"/>
      <c r="D104" s="2"/>
      <c r="E104" s="2"/>
      <c r="F104" s="2"/>
      <c r="G104" s="2"/>
      <c r="H104" s="2"/>
      <c r="I104" s="2"/>
      <c r="J104" s="2"/>
      <c r="K104" s="2"/>
      <c r="L104" s="2"/>
      <c r="M104" s="3"/>
    </row>
    <row r="105" spans="1:13" ht="12.75" customHeight="1" x14ac:dyDescent="0.2">
      <c r="A105" s="2"/>
      <c r="B105" s="3"/>
      <c r="C105" s="3"/>
      <c r="D105" s="2"/>
      <c r="E105" s="2"/>
      <c r="F105" s="2"/>
      <c r="G105" s="2"/>
      <c r="H105" s="2"/>
      <c r="I105" s="2"/>
      <c r="J105" s="2"/>
      <c r="K105" s="2"/>
      <c r="L105" s="2"/>
      <c r="M105" s="3"/>
    </row>
    <row r="106" spans="1:13" ht="12.75" customHeight="1" x14ac:dyDescent="0.2">
      <c r="A106" s="2"/>
      <c r="B106" s="3"/>
      <c r="C106" s="3"/>
      <c r="D106" s="2"/>
      <c r="E106" s="2"/>
      <c r="F106" s="2"/>
      <c r="G106" s="2"/>
      <c r="H106" s="2"/>
      <c r="I106" s="2"/>
      <c r="J106" s="2"/>
      <c r="K106" s="2"/>
      <c r="L106" s="2"/>
      <c r="M106" s="3"/>
    </row>
    <row r="107" spans="1:13" ht="12.75" customHeight="1" x14ac:dyDescent="0.2">
      <c r="A107" s="2"/>
      <c r="B107" s="3"/>
      <c r="C107" s="3"/>
      <c r="D107" s="2"/>
      <c r="E107" s="2"/>
      <c r="F107" s="2"/>
      <c r="G107" s="2"/>
      <c r="H107" s="2"/>
      <c r="I107" s="2"/>
      <c r="J107" s="2"/>
      <c r="K107" s="2"/>
      <c r="L107" s="2"/>
      <c r="M107" s="3"/>
    </row>
    <row r="108" spans="1:13" ht="12.75" customHeight="1" x14ac:dyDescent="0.2">
      <c r="A108" s="2"/>
      <c r="B108" s="3"/>
      <c r="C108" s="3"/>
      <c r="D108" s="2"/>
      <c r="E108" s="2"/>
      <c r="F108" s="2"/>
      <c r="G108" s="2"/>
      <c r="H108" s="2"/>
      <c r="I108" s="2"/>
      <c r="J108" s="2"/>
      <c r="K108" s="2"/>
      <c r="L108" s="2"/>
      <c r="M108" s="3"/>
    </row>
    <row r="109" spans="1:13" ht="12.75" customHeight="1" x14ac:dyDescent="0.2">
      <c r="A109" s="2"/>
      <c r="B109" s="3"/>
      <c r="C109" s="3"/>
      <c r="D109" s="2"/>
      <c r="E109" s="2"/>
      <c r="F109" s="2"/>
      <c r="G109" s="2"/>
      <c r="H109" s="2"/>
      <c r="I109" s="2"/>
      <c r="J109" s="2"/>
      <c r="K109" s="2"/>
      <c r="L109" s="2"/>
      <c r="M109" s="3"/>
    </row>
    <row r="110" spans="1:13" ht="12.75" customHeight="1" x14ac:dyDescent="0.2">
      <c r="A110" s="2"/>
      <c r="B110" s="3"/>
      <c r="C110" s="3"/>
      <c r="D110" s="2"/>
      <c r="E110" s="2"/>
      <c r="F110" s="2"/>
      <c r="G110" s="2"/>
      <c r="H110" s="2"/>
      <c r="I110" s="2"/>
      <c r="J110" s="2"/>
      <c r="K110" s="2"/>
      <c r="L110" s="2"/>
      <c r="M110" s="3"/>
    </row>
    <row r="111" spans="1:13" ht="12.75" customHeight="1" x14ac:dyDescent="0.2">
      <c r="A111" s="2"/>
      <c r="B111" s="3"/>
      <c r="C111" s="3"/>
      <c r="D111" s="2"/>
      <c r="E111" s="2"/>
      <c r="F111" s="2"/>
      <c r="G111" s="2"/>
      <c r="H111" s="2"/>
      <c r="I111" s="2"/>
      <c r="J111" s="2"/>
      <c r="K111" s="2"/>
      <c r="L111" s="2"/>
      <c r="M111" s="3"/>
    </row>
    <row r="112" spans="1:13" ht="12.75" customHeight="1" x14ac:dyDescent="0.2">
      <c r="A112" s="2"/>
      <c r="B112" s="3"/>
      <c r="C112" s="3"/>
      <c r="D112" s="2"/>
      <c r="E112" s="2"/>
      <c r="F112" s="2"/>
      <c r="G112" s="2"/>
      <c r="H112" s="2"/>
      <c r="I112" s="2"/>
      <c r="J112" s="2"/>
      <c r="K112" s="2"/>
      <c r="L112" s="2"/>
      <c r="M112" s="3"/>
    </row>
    <row r="113" spans="1:13" ht="12.75" customHeight="1" x14ac:dyDescent="0.2">
      <c r="A113" s="2"/>
      <c r="B113" s="3"/>
      <c r="C113" s="3"/>
      <c r="D113" s="2"/>
      <c r="E113" s="2"/>
      <c r="F113" s="2"/>
      <c r="G113" s="2"/>
      <c r="H113" s="2"/>
      <c r="I113" s="2"/>
      <c r="J113" s="2"/>
      <c r="K113" s="2"/>
      <c r="L113" s="2"/>
      <c r="M113" s="3"/>
    </row>
    <row r="114" spans="1:13" ht="12.75" customHeight="1" x14ac:dyDescent="0.2">
      <c r="A114" s="2"/>
      <c r="B114" s="3"/>
      <c r="C114" s="3"/>
      <c r="D114" s="2"/>
      <c r="E114" s="2"/>
      <c r="F114" s="2"/>
      <c r="G114" s="2"/>
      <c r="H114" s="2"/>
      <c r="I114" s="2"/>
      <c r="J114" s="2"/>
      <c r="K114" s="2"/>
      <c r="L114" s="2"/>
      <c r="M114" s="3"/>
    </row>
    <row r="115" spans="1:13" ht="12.75" customHeight="1" x14ac:dyDescent="0.2">
      <c r="A115" s="2"/>
      <c r="B115" s="3"/>
      <c r="C115" s="3"/>
      <c r="D115" s="2"/>
      <c r="E115" s="2"/>
      <c r="F115" s="2"/>
      <c r="G115" s="2"/>
      <c r="H115" s="2"/>
      <c r="I115" s="2"/>
      <c r="J115" s="2"/>
      <c r="K115" s="2"/>
      <c r="L115" s="2"/>
      <c r="M115" s="3"/>
    </row>
    <row r="116" spans="1:13" ht="12.75" customHeight="1" x14ac:dyDescent="0.2">
      <c r="A116" s="2"/>
      <c r="B116" s="3"/>
      <c r="C116" s="3"/>
      <c r="D116" s="2"/>
      <c r="E116" s="2"/>
      <c r="F116" s="2"/>
      <c r="G116" s="2"/>
      <c r="H116" s="2"/>
      <c r="I116" s="2"/>
      <c r="J116" s="2"/>
      <c r="K116" s="2"/>
      <c r="L116" s="2"/>
      <c r="M116" s="3"/>
    </row>
    <row r="117" spans="1:13" ht="12.75" customHeight="1" x14ac:dyDescent="0.2">
      <c r="A117" s="2"/>
      <c r="B117" s="3"/>
      <c r="C117" s="3"/>
      <c r="D117" s="2"/>
      <c r="E117" s="2"/>
      <c r="F117" s="2"/>
      <c r="G117" s="2"/>
      <c r="H117" s="2"/>
      <c r="I117" s="2"/>
      <c r="J117" s="2"/>
      <c r="K117" s="2"/>
      <c r="L117" s="2"/>
      <c r="M117" s="3"/>
    </row>
    <row r="118" spans="1:13" ht="12.75" customHeight="1" x14ac:dyDescent="0.2">
      <c r="A118" s="2"/>
      <c r="B118" s="3"/>
      <c r="C118" s="3"/>
      <c r="D118" s="2"/>
      <c r="E118" s="2"/>
      <c r="F118" s="2"/>
      <c r="G118" s="2"/>
      <c r="H118" s="2"/>
      <c r="I118" s="2"/>
      <c r="J118" s="2"/>
      <c r="K118" s="2"/>
      <c r="L118" s="2"/>
      <c r="M118" s="3"/>
    </row>
    <row r="119" spans="1:13" ht="12.75" customHeight="1" x14ac:dyDescent="0.2">
      <c r="A119" s="2"/>
      <c r="B119" s="3"/>
      <c r="C119" s="3"/>
      <c r="D119" s="2"/>
      <c r="E119" s="2"/>
      <c r="F119" s="2"/>
      <c r="G119" s="2"/>
      <c r="H119" s="2"/>
      <c r="I119" s="2"/>
      <c r="J119" s="2"/>
      <c r="K119" s="2"/>
      <c r="L119" s="2"/>
      <c r="M119" s="3"/>
    </row>
    <row r="120" spans="1:13" ht="12.75" customHeight="1" x14ac:dyDescent="0.2">
      <c r="A120" s="2"/>
      <c r="B120" s="3"/>
      <c r="C120" s="3"/>
      <c r="D120" s="2"/>
      <c r="E120" s="2"/>
      <c r="F120" s="2"/>
      <c r="G120" s="2"/>
      <c r="H120" s="2"/>
      <c r="I120" s="2"/>
      <c r="J120" s="2"/>
      <c r="K120" s="2"/>
      <c r="L120" s="2"/>
      <c r="M120" s="3"/>
    </row>
    <row r="121" spans="1:13" ht="12.75" customHeight="1" x14ac:dyDescent="0.2">
      <c r="A121" s="2"/>
      <c r="B121" s="3"/>
      <c r="C121" s="3"/>
      <c r="D121" s="2"/>
      <c r="E121" s="2"/>
      <c r="F121" s="2"/>
      <c r="G121" s="2"/>
      <c r="H121" s="2"/>
      <c r="I121" s="2"/>
      <c r="J121" s="2"/>
      <c r="K121" s="2"/>
      <c r="L121" s="2"/>
      <c r="M121" s="3"/>
    </row>
    <row r="122" spans="1:13" ht="12.75" customHeight="1" x14ac:dyDescent="0.2">
      <c r="A122" s="2"/>
      <c r="B122" s="3"/>
      <c r="C122" s="3"/>
      <c r="D122" s="2"/>
      <c r="E122" s="2"/>
      <c r="F122" s="2"/>
      <c r="G122" s="2"/>
      <c r="H122" s="2"/>
      <c r="I122" s="2"/>
      <c r="J122" s="2"/>
      <c r="K122" s="2"/>
      <c r="L122" s="2"/>
      <c r="M122" s="3"/>
    </row>
    <row r="123" spans="1:13" ht="12.75" customHeight="1" x14ac:dyDescent="0.2">
      <c r="A123" s="2"/>
      <c r="B123" s="3"/>
      <c r="C123" s="3"/>
      <c r="D123" s="2"/>
      <c r="E123" s="2"/>
      <c r="F123" s="2"/>
      <c r="G123" s="2"/>
      <c r="H123" s="2"/>
      <c r="I123" s="2"/>
      <c r="J123" s="2"/>
      <c r="K123" s="2"/>
      <c r="L123" s="2"/>
      <c r="M123" s="3"/>
    </row>
    <row r="124" spans="1:13" ht="12.75" customHeight="1" x14ac:dyDescent="0.2">
      <c r="A124" s="2"/>
      <c r="B124" s="3"/>
      <c r="C124" s="3"/>
      <c r="D124" s="2"/>
      <c r="E124" s="2"/>
      <c r="F124" s="2"/>
      <c r="G124" s="2"/>
      <c r="H124" s="2"/>
      <c r="I124" s="2"/>
      <c r="J124" s="2"/>
      <c r="K124" s="2"/>
      <c r="L124" s="2"/>
      <c r="M124" s="3"/>
    </row>
    <row r="125" spans="1:13" ht="12.75" customHeight="1" x14ac:dyDescent="0.2">
      <c r="A125" s="2"/>
      <c r="B125" s="3"/>
      <c r="C125" s="3"/>
      <c r="D125" s="2"/>
      <c r="E125" s="2"/>
      <c r="F125" s="2"/>
      <c r="G125" s="2"/>
      <c r="H125" s="2"/>
      <c r="I125" s="2"/>
      <c r="J125" s="2"/>
      <c r="K125" s="2"/>
      <c r="L125" s="2"/>
      <c r="M125" s="3"/>
    </row>
    <row r="126" spans="1:13" ht="12.75" customHeight="1" x14ac:dyDescent="0.2">
      <c r="A126" s="2"/>
      <c r="B126" s="3"/>
      <c r="C126" s="3"/>
      <c r="D126" s="2"/>
      <c r="E126" s="2"/>
      <c r="F126" s="2"/>
      <c r="G126" s="2"/>
      <c r="H126" s="2"/>
      <c r="I126" s="2"/>
      <c r="J126" s="2"/>
      <c r="K126" s="2"/>
      <c r="L126" s="2"/>
      <c r="M126" s="3"/>
    </row>
    <row r="127" spans="1:13" ht="12.75" customHeight="1" x14ac:dyDescent="0.2">
      <c r="A127" s="2"/>
      <c r="B127" s="3"/>
      <c r="C127" s="3"/>
      <c r="D127" s="2"/>
      <c r="E127" s="2"/>
      <c r="F127" s="2"/>
      <c r="G127" s="2"/>
      <c r="H127" s="2"/>
      <c r="I127" s="2"/>
      <c r="J127" s="2"/>
      <c r="K127" s="2"/>
      <c r="L127" s="2"/>
      <c r="M127" s="3"/>
    </row>
    <row r="128" spans="1:13" ht="12.75" customHeight="1" x14ac:dyDescent="0.2"/>
    <row r="129" ht="12.75" customHeight="1" x14ac:dyDescent="0.2"/>
    <row r="130" ht="12.75" customHeight="1" x14ac:dyDescent="0.2"/>
  </sheetData>
  <sheetProtection sheet="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5D77B8A00C989438772920D907B1776" ma:contentTypeVersion="9" ma:contentTypeDescription="Create a new document." ma:contentTypeScope="" ma:versionID="7e4ed9bfb029526135eab3f93836f0c7">
  <xsd:schema xmlns:xsd="http://www.w3.org/2001/XMLSchema" xmlns:xs="http://www.w3.org/2001/XMLSchema" xmlns:p="http://schemas.microsoft.com/office/2006/metadata/properties" xmlns:ns2="20d3b9b9-f9fa-4599-ba70-02580b9474c3" xmlns:ns3="ddb6e579-d126-4191-a6f7-45bc3974b9cb" targetNamespace="http://schemas.microsoft.com/office/2006/metadata/properties" ma:root="true" ma:fieldsID="501bae3977cd9d213ac08c7b00fc0fbf" ns2:_="" ns3:_="">
    <xsd:import namespace="20d3b9b9-f9fa-4599-ba70-02580b9474c3"/>
    <xsd:import namespace="ddb6e579-d126-4191-a6f7-45bc3974b9c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d3b9b9-f9fa-4599-ba70-02580b9474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db6e579-d126-4191-a6f7-45bc3974b9cb"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5DF5D2-7C2F-41F1-B818-2664D1318E3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97AA498-0B38-48BB-85FF-6EC287E1FB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d3b9b9-f9fa-4599-ba70-02580b9474c3"/>
    <ds:schemaRef ds:uri="ddb6e579-d126-4191-a6f7-45bc3974b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8B347C-4F89-4D0E-8FBD-F48762486A9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17</vt:i4>
      </vt:variant>
    </vt:vector>
  </HeadingPairs>
  <TitlesOfParts>
    <vt:vector size="23" baseType="lpstr">
      <vt:lpstr>Instructions</vt:lpstr>
      <vt:lpstr>Main</vt:lpstr>
      <vt:lpstr>Curves</vt:lpstr>
      <vt:lpstr>Interim Results</vt:lpstr>
      <vt:lpstr>Worksheet</vt:lpstr>
      <vt:lpstr>1997Curves</vt:lpstr>
      <vt:lpstr>class</vt:lpstr>
      <vt:lpstr>ecoregion</vt:lpstr>
      <vt:lpstr>Ecoregion_List</vt:lpstr>
      <vt:lpstr>FCCurve</vt:lpstr>
      <vt:lpstr>FCWQIClass</vt:lpstr>
      <vt:lpstr>OxyCurve</vt:lpstr>
      <vt:lpstr>OxygenWQIClass</vt:lpstr>
      <vt:lpstr>pHCurve</vt:lpstr>
      <vt:lpstr>Main!Print_Area</vt:lpstr>
      <vt:lpstr>SupSpawnWQIClass</vt:lpstr>
      <vt:lpstr>TempCurve</vt:lpstr>
      <vt:lpstr>TempWQIClass</vt:lpstr>
      <vt:lpstr>TNCurve</vt:lpstr>
      <vt:lpstr>TPCurve</vt:lpstr>
      <vt:lpstr>TSSCurve</vt:lpstr>
      <vt:lpstr>TurbCurve</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Water Quality Index tool, Version 6</dc:title>
  <dc:creator>David Hallock;Markus VonPrause;Washington State Department of Ecology</dc:creator>
  <cp:keywords>Water Quality Data;Index</cp:keywords>
  <cp:lastModifiedBy>Clark, Tim</cp:lastModifiedBy>
  <dcterms:created xsi:type="dcterms:W3CDTF">2002-07-09T17:33:56Z</dcterms:created>
  <dcterms:modified xsi:type="dcterms:W3CDTF">2021-03-09T01:33:39Z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-759549382</vt:i4>
  </property>
  <property fmtid="{D5CDD505-2E9C-101B-9397-08002B2CF9AE}" pid="3" name="_EmailSubject">
    <vt:lpwstr/>
  </property>
  <property fmtid="{D5CDD505-2E9C-101B-9397-08002B2CF9AE}" pid="4" name="_AuthorEmail">
    <vt:lpwstr>daha461@ECY.WA.GOV</vt:lpwstr>
  </property>
  <property fmtid="{D5CDD505-2E9C-101B-9397-08002B2CF9AE}" pid="5" name="_AuthorEmailDisplayName">
    <vt:lpwstr>Hallock, David</vt:lpwstr>
  </property>
  <property fmtid="{D5CDD505-2E9C-101B-9397-08002B2CF9AE}" pid="6" name="_ReviewingToolsShownOnce">
    <vt:lpwstr/>
  </property>
  <property fmtid="{D5CDD505-2E9C-101B-9397-08002B2CF9AE}" pid="7" name="ContentTypeId">
    <vt:lpwstr>0x01010025D77B8A00C989438772920D907B1776</vt:lpwstr>
  </property>
</Properties>
</file>